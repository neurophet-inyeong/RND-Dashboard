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pilot\RND-Dashboard\projects\"/>
    </mc:Choice>
  </mc:AlternateContent>
  <xr:revisionPtr revIDLastSave="0" documentId="13_ncr:1_{04D3D2E5-1560-4C8B-B13B-F9542386CD05}" xr6:coauthVersionLast="47" xr6:coauthVersionMax="47" xr10:uidLastSave="{00000000-0000-0000-0000-000000000000}"/>
  <bookViews>
    <workbookView xWindow="28680" yWindow="-120" windowWidth="29040" windowHeight="15720" xr2:uid="{B8D78CEB-D3AC-4A62-AA68-81CAD437EBFB}"/>
  </bookViews>
  <sheets>
    <sheet name="개요" sheetId="1" r:id="rId1"/>
    <sheet name="마일스톤" sheetId="4" r:id="rId2"/>
    <sheet name="정량지표" sheetId="5" r:id="rId3"/>
    <sheet name="정량지표상세" sheetId="6" r:id="rId4"/>
  </sheets>
  <externalReferences>
    <externalReference r:id="rId5"/>
  </externalReferences>
  <definedNames>
    <definedName name="_xlnm._FilterDatabase" localSheetId="0" hidden="1">개요!#REF!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J17" i="1"/>
  <c r="J22" i="1" s="1"/>
  <c r="K17" i="1"/>
  <c r="K22" i="1" s="1"/>
  <c r="E22" i="1" s="1" a="1"/>
  <c r="E22" i="1" s="1"/>
  <c r="L17" i="1"/>
  <c r="M17" i="1"/>
  <c r="M22" i="1" s="1"/>
  <c r="D18" i="1"/>
  <c r="D22" i="1" s="1"/>
  <c r="J18" i="1"/>
  <c r="K18" i="1"/>
  <c r="E18" i="1" s="1" a="1"/>
  <c r="E18" i="1" s="1"/>
  <c r="L18" i="1"/>
  <c r="M18" i="1" s="1"/>
  <c r="D19" i="1"/>
  <c r="J19" i="1"/>
  <c r="K19" i="1"/>
  <c r="M19" i="1" s="1"/>
  <c r="L19" i="1"/>
  <c r="D20" i="1"/>
  <c r="E20" i="1" a="1"/>
  <c r="E20" i="1" s="1"/>
  <c r="J20" i="1"/>
  <c r="K20" i="1"/>
  <c r="L20" i="1"/>
  <c r="M20" i="1"/>
  <c r="D21" i="1"/>
  <c r="E21" i="1" a="1"/>
  <c r="E21" i="1" s="1"/>
  <c r="J21" i="1"/>
  <c r="K21" i="1"/>
  <c r="L21" i="1"/>
  <c r="M21" i="1"/>
  <c r="F22" i="1"/>
  <c r="G22" i="1"/>
  <c r="H22" i="1"/>
  <c r="I22" i="1"/>
  <c r="L22" i="1"/>
  <c r="N22" i="1"/>
  <c r="O22" i="1"/>
  <c r="E19" i="1" l="1" a="1"/>
  <c r="E19" i="1" s="1"/>
  <c r="E17" i="1" a="1"/>
  <c r="E17" i="1" s="1"/>
  <c r="H4" i="5" a="1"/>
  <c r="H4" i="5" s="1"/>
  <c r="I4" i="5" a="1"/>
  <c r="I4" i="5" s="1"/>
  <c r="J4" i="5" a="1"/>
  <c r="J4" i="5" s="1"/>
  <c r="H5" i="5" a="1"/>
  <c r="H5" i="5" s="1"/>
  <c r="I5" i="5" a="1"/>
  <c r="I5" i="5" s="1"/>
  <c r="J5" i="5" a="1"/>
  <c r="J5" i="5" s="1"/>
  <c r="H6" i="5" a="1"/>
  <c r="H6" i="5" s="1"/>
  <c r="I6" i="5" a="1"/>
  <c r="I6" i="5" s="1"/>
  <c r="J6" i="5" a="1"/>
  <c r="J6" i="5" s="1"/>
  <c r="H7" i="5" a="1"/>
  <c r="H7" i="5" s="1"/>
  <c r="I7" i="5" a="1"/>
  <c r="I7" i="5" s="1"/>
  <c r="J7" i="5" a="1"/>
  <c r="J7" i="5" s="1"/>
  <c r="H8" i="5" a="1"/>
  <c r="H8" i="5" s="1"/>
  <c r="I8" i="5" a="1"/>
  <c r="I8" i="5" s="1"/>
  <c r="J8" i="5" a="1"/>
  <c r="J8" i="5" s="1"/>
  <c r="H9" i="5" a="1"/>
  <c r="H9" i="5" s="1"/>
  <c r="I9" i="5" a="1"/>
  <c r="I9" i="5" s="1"/>
  <c r="J9" i="5" a="1"/>
  <c r="J9" i="5" s="1"/>
  <c r="H10" i="5" a="1"/>
  <c r="H10" i="5" s="1"/>
  <c r="I10" i="5" a="1"/>
  <c r="I10" i="5" s="1"/>
  <c r="J10" i="5" a="1"/>
  <c r="J10" i="5" s="1"/>
  <c r="H11" i="5" a="1"/>
  <c r="H11" i="5" s="1"/>
  <c r="I11" i="5" a="1"/>
  <c r="I11" i="5" s="1"/>
  <c r="J11" i="5" a="1"/>
  <c r="J11" i="5" s="1"/>
  <c r="H12" i="5" a="1"/>
  <c r="H12" i="5" s="1"/>
  <c r="I12" i="5" a="1"/>
  <c r="I12" i="5" s="1"/>
  <c r="J12" i="5" a="1"/>
  <c r="J12" i="5" s="1"/>
  <c r="H13" i="5" a="1"/>
  <c r="H13" i="5" s="1"/>
  <c r="I13" i="5" a="1"/>
  <c r="I13" i="5" s="1"/>
  <c r="J13" i="5" a="1"/>
  <c r="J13" i="5" s="1"/>
  <c r="H14" i="5" a="1"/>
  <c r="H14" i="5" s="1"/>
  <c r="I14" i="5" a="1"/>
  <c r="I14" i="5" s="1"/>
  <c r="J14" i="5" a="1"/>
  <c r="J14" i="5" s="1"/>
  <c r="H15" i="5" a="1"/>
  <c r="H15" i="5" s="1"/>
  <c r="I15" i="5" a="1"/>
  <c r="I15" i="5" s="1"/>
  <c r="J15" i="5" a="1"/>
  <c r="J15" i="5" s="1"/>
  <c r="H16" i="5" a="1"/>
  <c r="H16" i="5" s="1"/>
  <c r="I16" i="5" a="1"/>
  <c r="I16" i="5" s="1"/>
  <c r="J16" i="5" a="1"/>
  <c r="J16" i="5" s="1"/>
  <c r="H17" i="5" a="1"/>
  <c r="H17" i="5" s="1"/>
  <c r="I17" i="5" a="1"/>
  <c r="I17" i="5" s="1"/>
  <c r="J17" i="5" a="1"/>
  <c r="J17" i="5" s="1"/>
  <c r="H18" i="5" a="1"/>
  <c r="H18" i="5" s="1"/>
  <c r="I18" i="5" a="1"/>
  <c r="I18" i="5"/>
  <c r="J18" i="5" a="1"/>
  <c r="J18" i="5" s="1"/>
  <c r="H19" i="5" a="1"/>
  <c r="H19" i="5" s="1"/>
  <c r="I19" i="5" a="1"/>
  <c r="I19" i="5" s="1"/>
  <c r="J19" i="5" a="1"/>
  <c r="J19" i="5" s="1"/>
  <c r="H20" i="5" a="1"/>
  <c r="H20" i="5" s="1"/>
  <c r="I20" i="5" a="1"/>
  <c r="I20" i="5" s="1"/>
  <c r="J20" i="5" a="1"/>
  <c r="J20" i="5" s="1"/>
  <c r="H21" i="5" a="1"/>
  <c r="H21" i="5" s="1"/>
  <c r="I21" i="5" a="1"/>
  <c r="I21" i="5" s="1"/>
  <c r="J21" i="5" a="1"/>
  <c r="J21" i="5" s="1"/>
  <c r="H22" i="5" a="1"/>
  <c r="H22" i="5" s="1"/>
  <c r="I22" i="5" a="1"/>
  <c r="I22" i="5" s="1"/>
  <c r="J22" i="5" a="1"/>
  <c r="J22" i="5" s="1"/>
  <c r="H23" i="5" a="1"/>
  <c r="H23" i="5" s="1"/>
  <c r="I23" i="5" a="1"/>
  <c r="I23" i="5" s="1"/>
  <c r="J23" i="5" a="1"/>
  <c r="J23" i="5" s="1"/>
  <c r="H24" i="5" a="1"/>
  <c r="H24" i="5" s="1"/>
  <c r="I24" i="5" a="1"/>
  <c r="I24" i="5" s="1"/>
  <c r="J24" i="5" a="1"/>
  <c r="J24" i="5" s="1"/>
  <c r="H25" i="5" a="1"/>
  <c r="H25" i="5" s="1"/>
  <c r="I25" i="5" a="1"/>
  <c r="I25" i="5" s="1"/>
  <c r="J25" i="5" a="1"/>
  <c r="J25" i="5" s="1"/>
  <c r="H26" i="5" a="1"/>
  <c r="H26" i="5" s="1"/>
  <c r="I26" i="5" a="1"/>
  <c r="I26" i="5" s="1"/>
  <c r="J26" i="5" a="1"/>
  <c r="J26" i="5" s="1"/>
  <c r="H27" i="5" a="1"/>
  <c r="H27" i="5" s="1"/>
  <c r="I27" i="5" a="1"/>
  <c r="I27" i="5" s="1"/>
  <c r="J27" i="5" a="1"/>
  <c r="J27" i="5" s="1"/>
  <c r="H28" i="5" a="1"/>
  <c r="H28" i="5" s="1"/>
  <c r="I28" i="5" a="1"/>
  <c r="I28" i="5" s="1"/>
  <c r="J28" i="5" a="1"/>
  <c r="J28" i="5" s="1"/>
  <c r="H29" i="5" a="1"/>
  <c r="H29" i="5" s="1"/>
  <c r="I29" i="5" a="1"/>
  <c r="I29" i="5" s="1"/>
  <c r="J29" i="5" a="1"/>
  <c r="J29" i="5" s="1"/>
  <c r="H30" i="5" a="1"/>
  <c r="H30" i="5" s="1"/>
  <c r="I30" i="5" a="1"/>
  <c r="I30" i="5" s="1"/>
  <c r="J30" i="5" a="1"/>
  <c r="J30" i="5" s="1"/>
  <c r="I3" i="5" a="1"/>
  <c r="I3" i="5" s="1"/>
  <c r="J3" i="5" a="1"/>
  <c r="J3" i="5" s="1"/>
  <c r="H3" i="5" a="1"/>
  <c r="H3" i="5" s="1"/>
  <c r="A14" i="4" l="1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4" i="4"/>
  <c r="A5" i="4"/>
  <c r="A6" i="4"/>
  <c r="A7" i="4"/>
  <c r="A8" i="4"/>
  <c r="A9" i="4"/>
  <c r="A10" i="4"/>
  <c r="A11" i="4"/>
  <c r="A12" i="4"/>
  <c r="A13" i="4"/>
  <c r="A3" i="4"/>
  <c r="M31" i="5" l="1"/>
  <c r="L31" i="5"/>
  <c r="K31" i="5"/>
  <c r="J31" i="5" a="1"/>
  <c r="J31" i="5" s="1"/>
  <c r="I31" i="5" a="1"/>
  <c r="I31" i="5" s="1"/>
  <c r="H31" i="5" a="1"/>
  <c r="H31" i="5" s="1"/>
  <c r="D31" i="5"/>
  <c r="M30" i="5"/>
  <c r="L30" i="5"/>
  <c r="K30" i="5"/>
  <c r="M29" i="5"/>
  <c r="L29" i="5"/>
  <c r="K29" i="5"/>
  <c r="M28" i="5"/>
  <c r="L28" i="5"/>
  <c r="K28" i="5"/>
  <c r="M27" i="5"/>
  <c r="L27" i="5"/>
  <c r="K27" i="5"/>
  <c r="M22" i="5"/>
  <c r="L22" i="5"/>
  <c r="K22" i="5"/>
  <c r="M21" i="5"/>
  <c r="L21" i="5"/>
  <c r="K21" i="5"/>
  <c r="M13" i="5"/>
  <c r="K13" i="5"/>
  <c r="L13" i="5"/>
  <c r="K12" i="5"/>
  <c r="M12" i="5"/>
  <c r="L12" i="5"/>
  <c r="K11" i="5"/>
  <c r="M11" i="5"/>
  <c r="L11" i="5"/>
  <c r="M10" i="5"/>
  <c r="L10" i="5"/>
  <c r="K10" i="5"/>
  <c r="L9" i="5"/>
  <c r="K9" i="5"/>
  <c r="M9" i="5"/>
  <c r="L8" i="5"/>
  <c r="K8" i="5"/>
  <c r="M8" i="5"/>
  <c r="M7" i="5"/>
  <c r="L7" i="5"/>
  <c r="K7" i="5"/>
  <c r="M6" i="5"/>
  <c r="K6" i="5"/>
  <c r="L6" i="5"/>
  <c r="M5" i="5"/>
  <c r="L5" i="5"/>
  <c r="K5" i="5"/>
  <c r="M4" i="5"/>
  <c r="L4" i="5"/>
  <c r="K4" i="5"/>
  <c r="M3" i="5"/>
  <c r="L3" i="5"/>
  <c r="K3" i="5"/>
  <c r="Z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<sst xmlns="http://schemas.openxmlformats.org/spreadsheetml/2006/main" count="60" uniqueCount="49">
  <si>
    <t>유형</t>
    <phoneticPr fontId="3" type="noConversion"/>
  </si>
  <si>
    <t>단계-연차</t>
    <phoneticPr fontId="3" type="noConversion"/>
  </si>
  <si>
    <t>시작일</t>
    <phoneticPr fontId="3" type="noConversion"/>
  </si>
  <si>
    <t>종료일</t>
    <phoneticPr fontId="3" type="noConversion"/>
  </si>
  <si>
    <t>개월 수</t>
    <phoneticPr fontId="3" type="noConversion"/>
  </si>
  <si>
    <t>계속비
(현금)</t>
    <phoneticPr fontId="3" type="noConversion"/>
  </si>
  <si>
    <t>정부지원금
(현금)</t>
    <phoneticPr fontId="3" type="noConversion"/>
  </si>
  <si>
    <t>지방비
(현금)</t>
    <phoneticPr fontId="3" type="noConversion"/>
  </si>
  <si>
    <t>민간부담금
(현금)</t>
    <phoneticPr fontId="3" type="noConversion"/>
  </si>
  <si>
    <t>민간부담금
(현물)</t>
    <phoneticPr fontId="3" type="noConversion"/>
  </si>
  <si>
    <t>총 민간부담금</t>
    <phoneticPr fontId="3" type="noConversion"/>
  </si>
  <si>
    <t>총 현금</t>
    <phoneticPr fontId="3" type="noConversion"/>
  </si>
  <si>
    <t>총 현물</t>
    <phoneticPr fontId="3" type="noConversion"/>
  </si>
  <si>
    <t>총 사업비</t>
    <phoneticPr fontId="3" type="noConversion"/>
  </si>
  <si>
    <t>타기관</t>
    <phoneticPr fontId="3" type="noConversion"/>
  </si>
  <si>
    <t>기술료</t>
  </si>
  <si>
    <t>부처</t>
    <phoneticPr fontId="3" type="noConversion"/>
  </si>
  <si>
    <t>전문기관</t>
    <phoneticPr fontId="3" type="noConversion"/>
  </si>
  <si>
    <t>사업명</t>
    <phoneticPr fontId="3" type="noConversion"/>
  </si>
  <si>
    <t>과제명</t>
    <phoneticPr fontId="3" type="noConversion"/>
  </si>
  <si>
    <t>과제번호</t>
    <phoneticPr fontId="3" type="noConversion"/>
  </si>
  <si>
    <t>주관/공동(책임자)</t>
    <phoneticPr fontId="3" type="noConversion"/>
  </si>
  <si>
    <t>총 수행기간</t>
    <phoneticPr fontId="3" type="noConversion"/>
  </si>
  <si>
    <t>당해기간</t>
    <phoneticPr fontId="3" type="noConversion"/>
  </si>
  <si>
    <t>당해기간(개월)</t>
    <phoneticPr fontId="3" type="noConversion"/>
  </si>
  <si>
    <t>시스템</t>
    <phoneticPr fontId="3" type="noConversion"/>
  </si>
  <si>
    <t>사사문구</t>
    <phoneticPr fontId="3" type="noConversion"/>
  </si>
  <si>
    <t>공고일</t>
    <phoneticPr fontId="3" type="noConversion"/>
  </si>
  <si>
    <t>비   고</t>
    <phoneticPr fontId="3" type="noConversion"/>
  </si>
  <si>
    <t>계획</t>
    <phoneticPr fontId="3" type="noConversion"/>
  </si>
  <si>
    <t>실행</t>
    <phoneticPr fontId="3" type="noConversion"/>
  </si>
  <si>
    <t>일련번호</t>
    <phoneticPr fontId="3" type="noConversion"/>
  </si>
  <si>
    <t>개발내용</t>
    <phoneticPr fontId="3" type="noConversion"/>
  </si>
  <si>
    <t>연차</t>
    <phoneticPr fontId="3" type="noConversion"/>
  </si>
  <si>
    <t>정량지표 명(주요성능 spec 등)</t>
    <phoneticPr fontId="10" type="noConversion"/>
  </si>
  <si>
    <t>확인지표</t>
    <phoneticPr fontId="10" type="noConversion"/>
  </si>
  <si>
    <t>지표단위</t>
    <phoneticPr fontId="10" type="noConversion"/>
  </si>
  <si>
    <t>가중치</t>
    <phoneticPr fontId="10" type="noConversion"/>
  </si>
  <si>
    <t>기관명</t>
    <phoneticPr fontId="3" type="noConversion"/>
  </si>
  <si>
    <t>연차별 연구개발 달성률</t>
    <phoneticPr fontId="10" type="noConversion"/>
  </si>
  <si>
    <t>합계</t>
  </si>
  <si>
    <t>단계-연차</t>
    <phoneticPr fontId="10" type="noConversion"/>
  </si>
  <si>
    <t>달성</t>
    <phoneticPr fontId="10" type="noConversion"/>
  </si>
  <si>
    <t>목표</t>
    <phoneticPr fontId="3" type="noConversion"/>
  </si>
  <si>
    <t>0단계 2연차</t>
    <phoneticPr fontId="3" type="noConversion"/>
  </si>
  <si>
    <t>0단계 3연차</t>
    <phoneticPr fontId="3" type="noConversion"/>
  </si>
  <si>
    <t>0단계 1연차</t>
    <phoneticPr fontId="3" type="noConversion"/>
  </si>
  <si>
    <t>총합</t>
    <phoneticPr fontId="3" type="noConversion"/>
  </si>
  <si>
    <t>정량지표 명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</si>
</sst>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;[Red]#,##0"/>
    <numFmt numFmtId="177" formatCode="0_);[Red]\(0\)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8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0"/>
      <name val="맑은 고딕"/>
      <family val="3"/>
      <scheme val="major"/>
    </font>
    <font>
      <b/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3"/>
      <scheme val="major"/>
    </font>
    <font>
      <sz val="8"/>
      <color rgb="FF444444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sz val="8"/>
      <name val="Arial"/>
      <family val="2"/>
      <charset val="129"/>
    </font>
    <font>
      <sz val="8"/>
      <color theme="1"/>
      <name val="Malgun Gothic"/>
      <family val="3"/>
      <charset val="129"/>
    </font>
    <font>
      <sz val="8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8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D6D6D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 style="thin">
        <color theme="8"/>
      </left>
      <right style="thin">
        <color theme="8"/>
      </right>
      <top style="thin">
        <color theme="8" tint="0.39997558519241921"/>
      </top>
      <bottom/>
      <diagonal/>
    </border>
    <border>
      <left/>
      <right style="thin">
        <color theme="8"/>
      </right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/>
      </left>
      <right/>
      <top style="thin">
        <color theme="8" tint="0.39997558519241921"/>
      </top>
      <bottom style="thin">
        <color theme="8"/>
      </bottom>
      <diagonal/>
    </border>
    <border>
      <left/>
      <right/>
      <top style="thin">
        <color theme="8" tint="0.39997558519241921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 tint="0.39997558519241921"/>
      </top>
      <bottom style="thin">
        <color theme="8"/>
      </bottom>
      <diagonal/>
    </border>
    <border>
      <left/>
      <right style="thin">
        <color theme="8"/>
      </right>
      <top style="thin">
        <color theme="8" tint="0.39997558519241921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rgb="FF5B9BD5"/>
      </left>
      <right/>
      <top/>
      <bottom/>
      <diagonal/>
    </border>
    <border>
      <left/>
      <right style="thin">
        <color rgb="FF5B9BD5"/>
      </right>
      <top/>
      <bottom/>
      <diagonal/>
    </border>
    <border>
      <left style="thin">
        <color rgb="FF5B9BD5"/>
      </left>
      <right/>
      <top style="thin">
        <color rgb="FFADCDEA"/>
      </top>
      <bottom style="thin">
        <color rgb="FFADCDEA"/>
      </bottom>
      <diagonal/>
    </border>
    <border>
      <left/>
      <right/>
      <top style="thin">
        <color rgb="FFADCDEA"/>
      </top>
      <bottom style="thin">
        <color rgb="FFADCDEA"/>
      </bottom>
      <diagonal/>
    </border>
    <border>
      <left/>
      <right style="thin">
        <color rgb="FF5B9BD5"/>
      </right>
      <top style="thin">
        <color rgb="FFADCDEA"/>
      </top>
      <bottom style="thin">
        <color rgb="FFADCDEA"/>
      </bottom>
      <diagonal/>
    </border>
    <border>
      <left style="thin">
        <color rgb="FF5B9BD5"/>
      </left>
      <right/>
      <top/>
      <bottom style="thin">
        <color rgb="FFADCDEA"/>
      </bottom>
      <diagonal/>
    </border>
    <border>
      <left/>
      <right/>
      <top/>
      <bottom style="thin">
        <color rgb="FFADCDEA"/>
      </bottom>
      <diagonal/>
    </border>
    <border>
      <left/>
      <right style="thin">
        <color rgb="FF5B9BD5"/>
      </right>
      <top/>
      <bottom style="thin">
        <color rgb="FFADCDEA"/>
      </bottom>
      <diagonal/>
    </border>
    <border>
      <left style="thin">
        <color rgb="FF5B9BD5"/>
      </left>
      <right style="thin">
        <color rgb="FF5B9BD5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8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rgb="FF5B9BD5"/>
      </left>
      <right style="thin">
        <color rgb="FF5B9BD5"/>
      </right>
      <top style="thin">
        <color theme="8" tint="0.39997558519241921"/>
      </top>
      <bottom/>
      <diagonal/>
    </border>
    <border>
      <left/>
      <right style="thin">
        <color rgb="FF5B9BD5"/>
      </right>
      <top style="thin">
        <color theme="8" tint="0.39997558519241921"/>
      </top>
      <bottom/>
      <diagonal/>
    </border>
    <border>
      <left style="thin">
        <color rgb="FF5B9BD5"/>
      </left>
      <right/>
      <top style="thin">
        <color theme="8" tint="0.39997558519241921"/>
      </top>
      <bottom/>
      <diagonal/>
    </border>
    <border>
      <left style="thin">
        <color rgb="FF5B9BD5"/>
      </left>
      <right style="thin">
        <color theme="8"/>
      </right>
      <top style="thin">
        <color theme="8" tint="0.39997558519241921"/>
      </top>
      <bottom/>
      <diagonal/>
    </border>
    <border>
      <left style="thin">
        <color rgb="FF5B9BD5"/>
      </left>
      <right style="thin">
        <color rgb="FF5B9BD5"/>
      </right>
      <top style="thin">
        <color theme="8" tint="0.39997558519241921"/>
      </top>
      <bottom style="thin">
        <color theme="8"/>
      </bottom>
      <diagonal/>
    </border>
    <border>
      <left style="thin">
        <color rgb="FF5B9BD5"/>
      </left>
      <right/>
      <top style="thin">
        <color rgb="FFADCDEA"/>
      </top>
      <bottom style="thin">
        <color theme="8"/>
      </bottom>
      <diagonal/>
    </border>
    <border>
      <left/>
      <right/>
      <top style="thin">
        <color rgb="FFADCDEA"/>
      </top>
      <bottom style="thin">
        <color theme="8"/>
      </bottom>
      <diagonal/>
    </border>
    <border>
      <left/>
      <right style="thin">
        <color rgb="FF5B9BD5"/>
      </right>
      <top style="thin">
        <color rgb="FFADCDEA"/>
      </top>
      <bottom style="thin">
        <color theme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176" fontId="2" fillId="2" borderId="1" xfId="1" applyNumberFormat="1" applyFont="1" applyFill="1" applyBorder="1" applyAlignment="1" applyProtection="1">
      <alignment horizontal="right" vertical="center"/>
      <protection locked="0"/>
    </xf>
    <xf numFmtId="176" fontId="4" fillId="3" borderId="0" xfId="0" applyNumberFormat="1" applyFont="1" applyFill="1" applyProtection="1">
      <alignment vertical="center"/>
      <protection locked="0"/>
    </xf>
    <xf numFmtId="41" fontId="4" fillId="3" borderId="0" xfId="1" applyFont="1" applyFill="1" applyBorder="1" applyProtection="1">
      <alignment vertical="center"/>
      <protection locked="0"/>
    </xf>
    <xf numFmtId="14" fontId="4" fillId="3" borderId="0" xfId="0" applyNumberFormat="1" applyFont="1" applyFill="1" applyAlignment="1" applyProtection="1">
      <alignment horizontal="center" vertical="center"/>
      <protection locked="0"/>
    </xf>
    <xf numFmtId="14" fontId="4" fillId="3" borderId="0" xfId="1" applyNumberFormat="1" applyFont="1" applyFill="1" applyBorder="1" applyAlignment="1" applyProtection="1">
      <alignment horizontal="center" vertical="center"/>
      <protection locked="0"/>
    </xf>
    <xf numFmtId="176" fontId="2" fillId="4" borderId="2" xfId="0" applyNumberFormat="1" applyFont="1" applyFill="1" applyBorder="1" applyAlignment="1" applyProtection="1">
      <alignment horizontal="center" vertical="center"/>
      <protection locked="0"/>
    </xf>
    <xf numFmtId="176" fontId="2" fillId="4" borderId="1" xfId="0" applyNumberFormat="1" applyFont="1" applyFill="1" applyBorder="1" applyAlignment="1" applyProtection="1">
      <alignment horizontal="center" vertical="center"/>
      <protection locked="0"/>
    </xf>
    <xf numFmtId="176" fontId="2" fillId="4" borderId="3" xfId="0" applyNumberFormat="1" applyFont="1" applyFill="1" applyBorder="1" applyAlignment="1" applyProtection="1">
      <alignment horizontal="center" vertical="center" wrapText="1"/>
      <protection locked="0"/>
    </xf>
    <xf numFmtId="176" fontId="2" fillId="4" borderId="2" xfId="0" applyNumberFormat="1" applyFont="1" applyFill="1" applyBorder="1" applyAlignment="1" applyProtection="1">
      <alignment horizontal="center" vertical="center" wrapText="1"/>
      <protection locked="0"/>
    </xf>
    <xf numFmtId="176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4" borderId="4" xfId="0" applyNumberFormat="1" applyFont="1" applyFill="1" applyBorder="1" applyAlignment="1" applyProtection="1">
      <alignment horizontal="center" vertical="center"/>
      <protection locked="0"/>
    </xf>
    <xf numFmtId="176" fontId="2" fillId="4" borderId="3" xfId="0" applyNumberFormat="1" applyFont="1" applyFill="1" applyBorder="1" applyAlignment="1" applyProtection="1">
      <alignment horizontal="center" vertical="center"/>
      <protection locked="0"/>
    </xf>
    <xf numFmtId="176" fontId="5" fillId="4" borderId="3" xfId="0" applyNumberFormat="1" applyFont="1" applyFill="1" applyBorder="1" applyAlignment="1" applyProtection="1">
      <alignment horizontal="center" vertical="center"/>
      <protection locked="0"/>
    </xf>
    <xf numFmtId="176" fontId="6" fillId="5" borderId="5" xfId="0" applyNumberFormat="1" applyFont="1" applyFill="1" applyBorder="1" applyAlignment="1" applyProtection="1">
      <alignment horizontal="center" vertical="center"/>
      <protection locked="0"/>
    </xf>
    <xf numFmtId="14" fontId="4" fillId="5" borderId="6" xfId="0" applyNumberFormat="1" applyFont="1" applyFill="1" applyBorder="1" applyProtection="1">
      <alignment vertical="center"/>
      <protection locked="0"/>
    </xf>
    <xf numFmtId="176" fontId="4" fillId="5" borderId="7" xfId="0" applyNumberFormat="1" applyFont="1" applyFill="1" applyBorder="1" applyProtection="1">
      <alignment vertical="center"/>
      <protection locked="0"/>
    </xf>
    <xf numFmtId="14" fontId="4" fillId="3" borderId="9" xfId="0" applyNumberFormat="1" applyFont="1" applyFill="1" applyBorder="1" applyProtection="1">
      <alignment vertical="center"/>
      <protection locked="0"/>
    </xf>
    <xf numFmtId="14" fontId="8" fillId="5" borderId="6" xfId="0" applyNumberFormat="1" applyFont="1" applyFill="1" applyBorder="1" applyProtection="1">
      <alignment vertical="center"/>
      <protection locked="0"/>
    </xf>
    <xf numFmtId="176" fontId="6" fillId="3" borderId="11" xfId="0" applyNumberFormat="1" applyFont="1" applyFill="1" applyBorder="1" applyAlignment="1" applyProtection="1">
      <alignment horizontal="right" vertical="center"/>
      <protection locked="0"/>
    </xf>
    <xf numFmtId="176" fontId="4" fillId="3" borderId="12" xfId="0" applyNumberFormat="1" applyFont="1" applyFill="1" applyBorder="1" applyProtection="1">
      <alignment vertical="center"/>
      <protection locked="0"/>
    </xf>
    <xf numFmtId="176" fontId="8" fillId="0" borderId="12" xfId="0" applyNumberFormat="1" applyFont="1" applyBorder="1" applyProtection="1">
      <alignment vertical="center"/>
      <protection locked="0"/>
    </xf>
    <xf numFmtId="176" fontId="4" fillId="3" borderId="0" xfId="0" applyNumberFormat="1" applyFont="1" applyFill="1" applyAlignment="1">
      <alignment horizontal="left" vertical="center"/>
    </xf>
    <xf numFmtId="176" fontId="4" fillId="3" borderId="0" xfId="0" applyNumberFormat="1" applyFont="1" applyFill="1" applyAlignment="1" applyProtection="1">
      <alignment horizontal="center" vertical="center"/>
      <protection locked="0"/>
    </xf>
    <xf numFmtId="176" fontId="4" fillId="3" borderId="0" xfId="0" applyNumberFormat="1" applyFont="1" applyFill="1" applyAlignment="1" applyProtection="1">
      <alignment horizontal="left" vertical="center"/>
      <protection locked="0"/>
    </xf>
    <xf numFmtId="176" fontId="4" fillId="0" borderId="0" xfId="0" applyNumberFormat="1" applyFont="1" applyProtection="1">
      <alignment vertical="center"/>
      <protection locked="0"/>
    </xf>
    <xf numFmtId="176" fontId="4" fillId="0" borderId="0" xfId="0" applyNumberFormat="1" applyFont="1" applyAlignment="1" applyProtection="1">
      <alignment horizontal="center" vertical="center"/>
      <protection locked="0"/>
    </xf>
    <xf numFmtId="176" fontId="4" fillId="3" borderId="0" xfId="3" applyNumberFormat="1" applyFont="1" applyFill="1" applyBorder="1" applyAlignment="1" applyProtection="1">
      <alignment vertical="center" wrapText="1"/>
      <protection locked="0"/>
    </xf>
    <xf numFmtId="176" fontId="4" fillId="3" borderId="0" xfId="1" applyNumberFormat="1" applyFont="1" applyFill="1" applyBorder="1" applyProtection="1">
      <alignment vertical="center"/>
      <protection locked="0"/>
    </xf>
    <xf numFmtId="176" fontId="4" fillId="3" borderId="0" xfId="1" applyNumberFormat="1" applyFont="1" applyFill="1" applyBorder="1" applyAlignment="1" applyProtection="1">
      <alignment vertical="center" wrapText="1"/>
      <protection locked="0"/>
    </xf>
    <xf numFmtId="41" fontId="4" fillId="3" borderId="0" xfId="1" applyFont="1" applyFill="1" applyBorder="1" applyAlignment="1" applyProtection="1">
      <alignment horizontal="center" vertical="center"/>
      <protection locked="0"/>
    </xf>
    <xf numFmtId="14" fontId="4" fillId="3" borderId="0" xfId="0" applyNumberFormat="1" applyFont="1" applyFill="1" applyProtection="1">
      <alignment vertical="center"/>
      <protection locked="0"/>
    </xf>
    <xf numFmtId="14" fontId="4" fillId="3" borderId="0" xfId="1" applyNumberFormat="1" applyFont="1" applyFill="1" applyBorder="1" applyProtection="1">
      <alignment vertical="center"/>
      <protection locked="0"/>
    </xf>
    <xf numFmtId="176" fontId="6" fillId="3" borderId="19" xfId="0" applyNumberFormat="1" applyFont="1" applyFill="1" applyBorder="1" applyProtection="1">
      <alignment vertical="center"/>
      <protection locked="0"/>
    </xf>
    <xf numFmtId="176" fontId="6" fillId="3" borderId="19" xfId="0" applyNumberFormat="1" applyFont="1" applyFill="1" applyBorder="1" applyAlignment="1" applyProtection="1">
      <alignment horizontal="center" vertical="center"/>
      <protection locked="0"/>
    </xf>
    <xf numFmtId="14" fontId="4" fillId="0" borderId="19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176" fontId="6" fillId="3" borderId="19" xfId="0" applyNumberFormat="1" applyFont="1" applyFill="1" applyBorder="1" applyAlignment="1" applyProtection="1">
      <alignment horizontal="left" vertical="center"/>
      <protection locked="0"/>
    </xf>
    <xf numFmtId="176" fontId="4" fillId="0" borderId="19" xfId="0" applyNumberFormat="1" applyFont="1" applyBorder="1" applyAlignment="1" applyProtection="1">
      <alignment horizontal="left" vertical="center"/>
      <protection locked="0"/>
    </xf>
    <xf numFmtId="176" fontId="4" fillId="0" borderId="19" xfId="0" applyNumberFormat="1" applyFont="1" applyBorder="1" applyAlignment="1" applyProtection="1">
      <alignment horizontal="left" vertical="center" wrapText="1"/>
      <protection locked="0"/>
    </xf>
    <xf numFmtId="176" fontId="4" fillId="0" borderId="20" xfId="0" applyNumberFormat="1" applyFont="1" applyBorder="1" applyAlignment="1" applyProtection="1">
      <alignment horizontal="left" vertical="center"/>
      <protection locked="0"/>
    </xf>
    <xf numFmtId="177" fontId="4" fillId="0" borderId="19" xfId="0" applyNumberFormat="1" applyFont="1" applyBorder="1" applyAlignment="1">
      <alignment horizontal="center" vertical="center"/>
    </xf>
    <xf numFmtId="176" fontId="11" fillId="5" borderId="6" xfId="0" applyNumberFormat="1" applyFont="1" applyFill="1" applyBorder="1" applyProtection="1">
      <alignment vertical="center"/>
      <protection locked="0"/>
    </xf>
    <xf numFmtId="176" fontId="4" fillId="5" borderId="24" xfId="0" applyNumberFormat="1" applyFont="1" applyFill="1" applyBorder="1" applyProtection="1">
      <alignment vertical="center"/>
      <protection locked="0"/>
    </xf>
    <xf numFmtId="176" fontId="4" fillId="3" borderId="27" xfId="0" applyNumberFormat="1" applyFont="1" applyFill="1" applyBorder="1" applyProtection="1">
      <alignment vertical="center"/>
      <protection locked="0"/>
    </xf>
    <xf numFmtId="176" fontId="6" fillId="5" borderId="30" xfId="0" applyNumberFormat="1" applyFont="1" applyFill="1" applyBorder="1" applyAlignment="1" applyProtection="1">
      <alignment horizontal="center" vertical="center"/>
      <protection locked="0"/>
    </xf>
    <xf numFmtId="176" fontId="11" fillId="5" borderId="31" xfId="0" applyNumberFormat="1" applyFont="1" applyFill="1" applyBorder="1" applyProtection="1">
      <alignment vertical="center"/>
      <protection locked="0"/>
    </xf>
    <xf numFmtId="176" fontId="11" fillId="5" borderId="32" xfId="0" applyNumberFormat="1" applyFont="1" applyFill="1" applyBorder="1" applyProtection="1">
      <alignment vertical="center"/>
      <protection locked="0"/>
    </xf>
    <xf numFmtId="176" fontId="11" fillId="5" borderId="33" xfId="0" applyNumberFormat="1" applyFont="1" applyFill="1" applyBorder="1" applyProtection="1">
      <alignment vertical="center"/>
      <protection locked="0"/>
    </xf>
    <xf numFmtId="176" fontId="7" fillId="5" borderId="6" xfId="0" applyNumberFormat="1" applyFont="1" applyFill="1" applyBorder="1" applyProtection="1">
      <alignment vertical="center"/>
      <protection locked="0"/>
    </xf>
    <xf numFmtId="176" fontId="4" fillId="5" borderId="6" xfId="0" applyNumberFormat="1" applyFont="1" applyFill="1" applyBorder="1">
      <alignment vertical="center"/>
    </xf>
    <xf numFmtId="176" fontId="4" fillId="3" borderId="10" xfId="0" applyNumberFormat="1" applyFont="1" applyFill="1" applyBorder="1">
      <alignment vertical="center"/>
    </xf>
    <xf numFmtId="176" fontId="4" fillId="3" borderId="12" xfId="0" applyNumberFormat="1" applyFont="1" applyFill="1" applyBorder="1">
      <alignment vertical="center"/>
    </xf>
    <xf numFmtId="176" fontId="4" fillId="3" borderId="11" xfId="0" applyNumberFormat="1" applyFont="1" applyFill="1" applyBorder="1">
      <alignment vertical="center"/>
    </xf>
    <xf numFmtId="176" fontId="4" fillId="3" borderId="35" xfId="0" applyNumberFormat="1" applyFont="1" applyFill="1" applyBorder="1">
      <alignment vertical="center"/>
    </xf>
    <xf numFmtId="176" fontId="7" fillId="3" borderId="36" xfId="0" applyNumberFormat="1" applyFont="1" applyFill="1" applyBorder="1">
      <alignment vertical="center"/>
    </xf>
    <xf numFmtId="176" fontId="4" fillId="3" borderId="37" xfId="0" applyNumberFormat="1" applyFont="1" applyFill="1" applyBorder="1">
      <alignment vertical="center"/>
    </xf>
    <xf numFmtId="176" fontId="4" fillId="3" borderId="38" xfId="0" applyNumberFormat="1" applyFont="1" applyFill="1" applyBorder="1">
      <alignment vertical="center"/>
    </xf>
    <xf numFmtId="176" fontId="4" fillId="3" borderId="14" xfId="0" applyNumberFormat="1" applyFont="1" applyFill="1" applyBorder="1">
      <alignment vertical="center"/>
    </xf>
    <xf numFmtId="176" fontId="4" fillId="3" borderId="13" xfId="0" applyNumberFormat="1" applyFont="1" applyFill="1" applyBorder="1">
      <alignment vertical="center"/>
    </xf>
    <xf numFmtId="176" fontId="4" fillId="5" borderId="25" xfId="0" applyNumberFormat="1" applyFont="1" applyFill="1" applyBorder="1">
      <alignment vertical="center"/>
    </xf>
    <xf numFmtId="176" fontId="4" fillId="5" borderId="8" xfId="0" applyNumberFormat="1" applyFont="1" applyFill="1" applyBorder="1">
      <alignment vertical="center"/>
    </xf>
    <xf numFmtId="176" fontId="4" fillId="5" borderId="7" xfId="0" applyNumberFormat="1" applyFont="1" applyFill="1" applyBorder="1">
      <alignment vertical="center"/>
    </xf>
    <xf numFmtId="176" fontId="4" fillId="0" borderId="22" xfId="0" applyNumberFormat="1" applyFont="1" applyBorder="1">
      <alignment vertical="center"/>
    </xf>
    <xf numFmtId="176" fontId="4" fillId="0" borderId="6" xfId="0" applyNumberFormat="1" applyFont="1" applyBorder="1">
      <alignment vertical="center"/>
    </xf>
    <xf numFmtId="176" fontId="4" fillId="0" borderId="5" xfId="0" applyNumberFormat="1" applyFont="1" applyBorder="1">
      <alignment vertical="center"/>
    </xf>
    <xf numFmtId="176" fontId="4" fillId="0" borderId="7" xfId="0" applyNumberFormat="1" applyFont="1" applyBorder="1">
      <alignment vertical="center"/>
    </xf>
    <xf numFmtId="176" fontId="4" fillId="0" borderId="28" xfId="0" applyNumberFormat="1" applyFont="1" applyBorder="1">
      <alignment vertical="center"/>
    </xf>
    <xf numFmtId="176" fontId="7" fillId="5" borderId="32" xfId="0" applyNumberFormat="1" applyFont="1" applyFill="1" applyBorder="1">
      <alignment vertical="center"/>
    </xf>
    <xf numFmtId="176" fontId="4" fillId="5" borderId="34" xfId="0" applyNumberFormat="1" applyFont="1" applyFill="1" applyBorder="1">
      <alignment vertical="center"/>
    </xf>
    <xf numFmtId="3" fontId="11" fillId="8" borderId="29" xfId="1" applyNumberFormat="1" applyFont="1" applyFill="1" applyBorder="1" applyProtection="1">
      <alignment vertical="center"/>
      <protection locked="0"/>
    </xf>
    <xf numFmtId="3" fontId="11" fillId="8" borderId="23" xfId="1" applyNumberFormat="1" applyFont="1" applyFill="1" applyBorder="1" applyProtection="1">
      <alignment vertical="center"/>
      <protection locked="0"/>
    </xf>
    <xf numFmtId="176" fontId="7" fillId="5" borderId="7" xfId="0" applyNumberFormat="1" applyFont="1" applyFill="1" applyBorder="1" applyProtection="1">
      <alignment vertical="center"/>
      <protection locked="0"/>
    </xf>
    <xf numFmtId="176" fontId="6" fillId="0" borderId="5" xfId="0" applyNumberFormat="1" applyFont="1" applyBorder="1" applyAlignment="1" applyProtection="1">
      <alignment horizontal="center" vertical="center"/>
      <protection locked="0"/>
    </xf>
    <xf numFmtId="3" fontId="11" fillId="0" borderId="29" xfId="1" applyNumberFormat="1" applyFont="1" applyBorder="1" applyProtection="1">
      <alignment vertical="center"/>
      <protection locked="0"/>
    </xf>
    <xf numFmtId="176" fontId="11" fillId="0" borderId="6" xfId="0" applyNumberFormat="1" applyFont="1" applyBorder="1" applyProtection="1">
      <alignment vertical="center"/>
      <protection locked="0"/>
    </xf>
    <xf numFmtId="3" fontId="11" fillId="0" borderId="21" xfId="1" applyNumberFormat="1" applyFont="1" applyBorder="1" applyProtection="1">
      <alignment vertical="center"/>
      <protection locked="0"/>
    </xf>
    <xf numFmtId="176" fontId="4" fillId="0" borderId="7" xfId="0" applyNumberFormat="1" applyFont="1" applyBorder="1" applyProtection="1">
      <alignment vertical="center"/>
      <protection locked="0"/>
    </xf>
    <xf numFmtId="176" fontId="7" fillId="0" borderId="7" xfId="0" applyNumberFormat="1" applyFont="1" applyBorder="1" applyProtection="1">
      <alignment vertical="center"/>
      <protection locked="0"/>
    </xf>
    <xf numFmtId="3" fontId="11" fillId="0" borderId="26" xfId="1" applyNumberFormat="1" applyFont="1" applyBorder="1" applyProtection="1">
      <alignment vertical="center"/>
      <protection locked="0"/>
    </xf>
    <xf numFmtId="176" fontId="4" fillId="5" borderId="5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13" fillId="0" borderId="0" xfId="0" applyFont="1">
      <alignment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9" fontId="12" fillId="0" borderId="15" xfId="2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2" fillId="0" borderId="15" xfId="0" applyFont="1" applyBorder="1" applyAlignment="1">
      <alignment horizontal="left" vertical="center" wrapText="1" indent="1"/>
    </xf>
    <xf numFmtId="0" fontId="13" fillId="0" borderId="0" xfId="0" applyFont="1" applyAlignment="1">
      <alignment horizontal="left" vertical="center" indent="1"/>
    </xf>
    <xf numFmtId="0" fontId="16" fillId="6" borderId="15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left" vertical="center" wrapText="1" indent="1"/>
    </xf>
    <xf numFmtId="0" fontId="15" fillId="0" borderId="0" xfId="0" applyFont="1" applyAlignment="1">
      <alignment horizontal="left" vertical="center" indent="1"/>
    </xf>
    <xf numFmtId="0" fontId="16" fillId="6" borderId="16" xfId="0" applyFont="1" applyFill="1" applyBorder="1" applyAlignment="1">
      <alignment horizontal="center" vertical="center" wrapText="1"/>
    </xf>
    <xf numFmtId="0" fontId="16" fillId="6" borderId="17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0" fontId="16" fillId="6" borderId="39" xfId="0" applyFont="1" applyFill="1" applyBorder="1" applyAlignment="1">
      <alignment horizontal="center" vertical="center" wrapText="1"/>
    </xf>
    <xf numFmtId="0" fontId="16" fillId="6" borderId="40" xfId="0" applyFont="1" applyFill="1" applyBorder="1" applyAlignment="1">
      <alignment horizontal="center" vertical="center" wrapText="1"/>
    </xf>
    <xf numFmtId="0" fontId="16" fillId="6" borderId="41" xfId="0" applyFont="1" applyFill="1" applyBorder="1" applyAlignment="1">
      <alignment horizontal="center" vertical="center" wrapText="1"/>
    </xf>
    <xf numFmtId="176" fontId="6" fillId="3" borderId="19" xfId="0" applyNumberFormat="1" applyFont="1" applyFill="1" applyBorder="1" applyAlignment="1" applyProtection="1">
      <alignment horizontal="center" vertical="center"/>
      <protection locked="0"/>
    </xf>
    <xf numFmtId="41" fontId="6" fillId="3" borderId="19" xfId="1" applyFont="1" applyFill="1" applyBorder="1" applyAlignment="1" applyProtection="1">
      <alignment horizontal="center" vertical="center"/>
      <protection locked="0"/>
    </xf>
  </cellXfs>
  <cellStyles count="4">
    <cellStyle name="Hyperlink" xfId="3" xr:uid="{CE08D5B9-372F-4712-9115-D30F17B6D5B9}"/>
    <cellStyle name="백분율" xfId="2" builtinId="5"/>
    <cellStyle name="쉼표 [0]" xfId="1" builtinId="6"/>
    <cellStyle name="표준" xfId="0" builtinId="0"/>
  </cellStyles>
  <dxfs count="13"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</dxf>
    <dxf>
      <font>
        <color theme="1"/>
      </font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opilot\RND-Dashboard\projects\RS-2024-00507182.xlsx" TargetMode="External"/><Relationship Id="rId1" Type="http://schemas.openxmlformats.org/officeDocument/2006/relationships/externalLinkPath" Target="RS-2024-0050718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개요"/>
      <sheetName val="사업비"/>
      <sheetName val="마일스톤"/>
      <sheetName val="정량지표"/>
      <sheetName val="정량지표상세"/>
    </sheetNames>
    <sheetDataSet>
      <sheetData sheetId="0"/>
      <sheetData sheetId="1"/>
      <sheetData sheetId="2"/>
      <sheetData sheetId="3"/>
      <sheetData sheetId="4">
        <row r="2">
          <cell r="A2" t="str">
            <v>실증 자료 활용 국내 인증 신청/인증</v>
          </cell>
          <cell r="B2" t="str">
            <v>0단계 2연차</v>
          </cell>
          <cell r="C2">
            <v>1</v>
          </cell>
        </row>
        <row r="3">
          <cell r="A3" t="str">
            <v>실증 자료 활용 일본 인증 신청/인증</v>
          </cell>
          <cell r="B3" t="str">
            <v>0단계 2연차</v>
          </cell>
          <cell r="C3">
            <v>1</v>
          </cell>
        </row>
        <row r="4">
          <cell r="A4" t="str">
            <v>실증 자료 활용 미국 인증 신청/인증</v>
          </cell>
          <cell r="B4" t="str">
            <v>0단계 3연차</v>
          </cell>
          <cell r="C4">
            <v>1</v>
          </cell>
        </row>
        <row r="5">
          <cell r="A5" t="str">
            <v>신규고용</v>
          </cell>
          <cell r="B5" t="str">
            <v>0단계 1연차</v>
          </cell>
          <cell r="C5">
            <v>2</v>
          </cell>
        </row>
        <row r="6">
          <cell r="A6" t="str">
            <v>신규고용</v>
          </cell>
          <cell r="B6" t="str">
            <v>0단계 2연차</v>
          </cell>
          <cell r="C6">
            <v>1</v>
          </cell>
        </row>
        <row r="7">
          <cell r="A7" t="str">
            <v>국내매출</v>
          </cell>
          <cell r="B7" t="str">
            <v>0단계 2연차</v>
          </cell>
          <cell r="C7">
            <v>370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F446-DE9A-4BBE-905F-EDEFD937E208}">
  <sheetPr>
    <tabColor theme="5" tint="0.79998168889431442"/>
  </sheetPr>
  <dimension ref="A1:AA75"/>
  <sheetViews>
    <sheetView tabSelected="1" workbookViewId="0">
      <selection activeCell="G17" sqref="G17"/>
    </sheetView>
  </sheetViews>
  <sheetFormatPr defaultColWidth="17.59765625" defaultRowHeight="15" customHeight="1"/>
  <cols>
    <col min="1" max="4" width="12.69921875" style="2" customWidth="1"/>
    <col min="5" max="5" width="12.69921875" style="3" customWidth="1"/>
    <col min="6" max="6" width="12.69921875" style="4" customWidth="1"/>
    <col min="7" max="7" width="12.69921875" style="5" customWidth="1"/>
    <col min="8" max="8" width="15.5" style="2" customWidth="1"/>
    <col min="9" max="10" width="12.69921875" style="2" customWidth="1"/>
    <col min="11" max="11" width="9" style="2" bestFit="1" customWidth="1"/>
    <col min="12" max="12" width="8.69921875" style="2" bestFit="1" customWidth="1"/>
    <col min="13" max="13" width="9.8984375" style="2" bestFit="1" customWidth="1"/>
    <col min="14" max="14" width="7.19921875" style="2" customWidth="1"/>
    <col min="15" max="23" width="9.19921875" style="2" customWidth="1"/>
    <col min="24" max="25" width="5.59765625" style="2" bestFit="1" customWidth="1"/>
    <col min="26" max="16384" width="17.59765625" style="2"/>
  </cols>
  <sheetData>
    <row r="1" spans="1:27" ht="15" customHeight="1">
      <c r="A1" s="1" t="s">
        <v>0</v>
      </c>
    </row>
    <row r="2" spans="1:27" ht="15" customHeight="1">
      <c r="A2" s="1" t="s">
        <v>16</v>
      </c>
    </row>
    <row r="3" spans="1:27" ht="15" customHeight="1">
      <c r="A3" s="1" t="s">
        <v>17</v>
      </c>
    </row>
    <row r="4" spans="1:27" ht="15" customHeight="1">
      <c r="A4" s="1" t="s">
        <v>18</v>
      </c>
      <c r="E4" s="2"/>
      <c r="F4" s="2"/>
      <c r="G4" s="2"/>
      <c r="Z4" s="2">
        <f>개요!M19*0.4</f>
        <v>0</v>
      </c>
    </row>
    <row r="5" spans="1:27" ht="15" customHeight="1">
      <c r="A5" s="1" t="s">
        <v>19</v>
      </c>
      <c r="E5" s="2"/>
      <c r="F5" s="2"/>
      <c r="G5" s="2"/>
    </row>
    <row r="6" spans="1:27" ht="15" customHeight="1">
      <c r="A6" s="1" t="s">
        <v>20</v>
      </c>
      <c r="E6" s="2"/>
      <c r="F6" s="2"/>
      <c r="G6" s="2"/>
    </row>
    <row r="7" spans="1:27" ht="15" customHeight="1">
      <c r="A7" s="1" t="s">
        <v>21</v>
      </c>
      <c r="E7" s="2"/>
      <c r="F7" s="2"/>
      <c r="G7" s="2"/>
    </row>
    <row r="8" spans="1:27" ht="15" customHeight="1">
      <c r="A8" s="1" t="s">
        <v>22</v>
      </c>
      <c r="B8" s="22"/>
      <c r="C8" s="23"/>
      <c r="D8" s="24"/>
      <c r="E8" s="2"/>
      <c r="F8" s="2"/>
      <c r="G8" s="2"/>
    </row>
    <row r="9" spans="1:27" ht="15" customHeight="1">
      <c r="A9" s="1" t="s">
        <v>23</v>
      </c>
      <c r="B9" s="22"/>
      <c r="C9" s="23"/>
      <c r="D9" s="24"/>
      <c r="E9" s="2"/>
      <c r="F9" s="2"/>
      <c r="G9" s="2"/>
      <c r="H9" s="23"/>
      <c r="I9" s="23"/>
      <c r="J9" s="23"/>
    </row>
    <row r="10" spans="1:27" ht="15" customHeight="1">
      <c r="A10" s="1" t="s">
        <v>24</v>
      </c>
      <c r="B10" s="22"/>
      <c r="E10" s="2"/>
      <c r="F10" s="2"/>
      <c r="G10" s="25"/>
      <c r="H10" s="26"/>
      <c r="I10" s="23"/>
      <c r="J10" s="23"/>
    </row>
    <row r="11" spans="1:27" ht="15" customHeight="1">
      <c r="A11" s="1" t="s">
        <v>25</v>
      </c>
      <c r="B11" s="24"/>
      <c r="E11" s="2"/>
      <c r="F11" s="2"/>
      <c r="G11" s="2"/>
      <c r="H11" s="23"/>
      <c r="I11" s="23"/>
      <c r="J11" s="23"/>
    </row>
    <row r="12" spans="1:27" ht="15" customHeight="1">
      <c r="A12" s="1" t="s">
        <v>26</v>
      </c>
      <c r="B12" s="27"/>
      <c r="E12" s="2"/>
      <c r="F12" s="2"/>
      <c r="G12" s="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8"/>
      <c r="Y12" s="29"/>
      <c r="Z12" s="28"/>
      <c r="AA12" s="28"/>
    </row>
    <row r="13" spans="1:27" ht="15" customHeight="1">
      <c r="A13" s="1" t="s">
        <v>27</v>
      </c>
      <c r="B13" s="4"/>
      <c r="E13" s="2"/>
      <c r="F13" s="2"/>
      <c r="G13" s="2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8"/>
      <c r="Y13" s="28"/>
      <c r="Z13" s="28"/>
      <c r="AA13" s="28"/>
    </row>
    <row r="14" spans="1:27" ht="15" customHeight="1">
      <c r="A14" s="1" t="s">
        <v>28</v>
      </c>
      <c r="B14" s="23"/>
      <c r="E14" s="2"/>
      <c r="F14" s="2"/>
      <c r="G14" s="2"/>
      <c r="K14" s="23"/>
      <c r="X14" s="28"/>
      <c r="Y14" s="28"/>
      <c r="Z14" s="28"/>
      <c r="AA14" s="28"/>
    </row>
    <row r="15" spans="1:27" ht="15" customHeight="1">
      <c r="C15" s="23"/>
      <c r="D15" s="23"/>
      <c r="E15" s="30"/>
      <c r="H15" s="23"/>
    </row>
    <row r="16" spans="1:27" customFormat="1" ht="21.6">
      <c r="A16" s="6" t="s">
        <v>1</v>
      </c>
      <c r="B16" s="7" t="s">
        <v>2</v>
      </c>
      <c r="C16" s="7" t="s">
        <v>3</v>
      </c>
      <c r="D16" s="7" t="s">
        <v>4</v>
      </c>
      <c r="E16" s="8" t="s">
        <v>5</v>
      </c>
      <c r="F16" s="8" t="s">
        <v>6</v>
      </c>
      <c r="G16" s="8" t="s">
        <v>7</v>
      </c>
      <c r="H16" s="9" t="s">
        <v>8</v>
      </c>
      <c r="I16" s="10" t="s">
        <v>9</v>
      </c>
      <c r="J16" s="11" t="s">
        <v>10</v>
      </c>
      <c r="K16" s="11" t="s">
        <v>11</v>
      </c>
      <c r="L16" s="11" t="s">
        <v>12</v>
      </c>
      <c r="M16" s="12" t="s">
        <v>13</v>
      </c>
      <c r="N16" s="12" t="s">
        <v>14</v>
      </c>
      <c r="O16" s="13" t="s">
        <v>15</v>
      </c>
    </row>
    <row r="17" spans="1:15" customFormat="1" ht="17.399999999999999">
      <c r="A17" s="14"/>
      <c r="B17" s="15"/>
      <c r="C17" s="15"/>
      <c r="D17" s="50" t="str">
        <f>IF(B17="","",DATEDIF(B17,C17,"m")+1)</f>
        <v/>
      </c>
      <c r="E17" s="80" t="e" cm="1">
        <f t="array" ref="E17">SUMPRODUCT(
  (#REF! = $K17) *
  ISNUMBER(MATCH(#REF!, {"인건비","연구활동비","연구재료비","연구시설장비비","연구수당"}, 0))
 *#REF!
)</f>
        <v>#REF!</v>
      </c>
      <c r="F17" s="70"/>
      <c r="G17" s="42"/>
      <c r="H17" s="71"/>
      <c r="I17" s="43"/>
      <c r="J17" s="60">
        <f>H17+I17</f>
        <v>0</v>
      </c>
      <c r="K17" s="61">
        <f>SUM(F17,G17,H17)</f>
        <v>0</v>
      </c>
      <c r="L17" s="61">
        <f>I17</f>
        <v>0</v>
      </c>
      <c r="M17" s="62">
        <f>K17+L17</f>
        <v>0</v>
      </c>
      <c r="N17" s="16"/>
      <c r="O17" s="72"/>
    </row>
    <row r="18" spans="1:15" customFormat="1" ht="17.399999999999999">
      <c r="A18" s="73"/>
      <c r="B18" s="17"/>
      <c r="C18" s="17"/>
      <c r="D18" s="51" t="str">
        <f>IF(B18="","",DATEDIF(B18,C18,"m")+1)</f>
        <v/>
      </c>
      <c r="E18" s="65" t="e" cm="1">
        <f t="array" ref="E18">SUMPRODUCT(
  (#REF! = $K18) *
  ISNUMBER(MATCH(#REF!, {"인건비","연구활동비","연구재료비","연구시설장비비","연구수당"}, 0))
 *#REF!
)</f>
        <v>#REF!</v>
      </c>
      <c r="F18" s="74"/>
      <c r="G18" s="75"/>
      <c r="H18" s="76"/>
      <c r="I18" s="2"/>
      <c r="J18" s="63">
        <f>H18+I18</f>
        <v>0</v>
      </c>
      <c r="K18" s="64">
        <f>SUM(F18,G18,H18)</f>
        <v>0</v>
      </c>
      <c r="L18" s="65">
        <f>I18</f>
        <v>0</v>
      </c>
      <c r="M18" s="66">
        <f>K18+L18</f>
        <v>0</v>
      </c>
      <c r="N18" s="77"/>
      <c r="O18" s="78"/>
    </row>
    <row r="19" spans="1:15" customFormat="1" ht="17.399999999999999">
      <c r="A19" s="14"/>
      <c r="B19" s="15"/>
      <c r="C19" s="15"/>
      <c r="D19" s="50" t="str">
        <f>IF(B19="","",DATEDIF(B19,C19,"m")+1)</f>
        <v/>
      </c>
      <c r="E19" s="80" t="e" cm="1">
        <f t="array" ref="E19">SUMPRODUCT(
  (#REF! = $K19) *
  ISNUMBER(MATCH(#REF!, {"인건비","연구활동비","연구재료비","연구시설장비비","연구수당"}, 0))
 *#REF!
)</f>
        <v>#REF!</v>
      </c>
      <c r="F19" s="70"/>
      <c r="G19" s="42"/>
      <c r="H19" s="71"/>
      <c r="I19" s="43"/>
      <c r="J19" s="60">
        <f>H19+I19</f>
        <v>0</v>
      </c>
      <c r="K19" s="61">
        <f>SUM(F19,G19,H19)</f>
        <v>0</v>
      </c>
      <c r="L19" s="61">
        <f>I19</f>
        <v>0</v>
      </c>
      <c r="M19" s="62">
        <f>K19+L19</f>
        <v>0</v>
      </c>
      <c r="N19" s="16"/>
      <c r="O19" s="72"/>
    </row>
    <row r="20" spans="1:15" customFormat="1" ht="17.399999999999999">
      <c r="A20" s="73"/>
      <c r="B20" s="17"/>
      <c r="C20" s="17"/>
      <c r="D20" s="51" t="str">
        <f>IF(B20="","",DATEDIF(B20,C20,"m")+1)</f>
        <v/>
      </c>
      <c r="E20" s="65" t="e" cm="1">
        <f t="array" ref="E20">SUMPRODUCT(
  (#REF! = $K20) *
  ISNUMBER(MATCH(#REF!, {"인건비","연구활동비","연구재료비","연구시설장비비","연구수당"}, 0))
 *#REF!
)</f>
        <v>#REF!</v>
      </c>
      <c r="F20" s="74"/>
      <c r="G20" s="75"/>
      <c r="H20" s="79"/>
      <c r="I20" s="44"/>
      <c r="J20" s="67">
        <f>H20+I20</f>
        <v>0</v>
      </c>
      <c r="K20" s="64">
        <f>SUM(F20,G20,H20)</f>
        <v>0</v>
      </c>
      <c r="L20" s="65">
        <f>I20</f>
        <v>0</v>
      </c>
      <c r="M20" s="66">
        <f>K20+L20</f>
        <v>0</v>
      </c>
      <c r="N20" s="77"/>
      <c r="O20" s="78"/>
    </row>
    <row r="21" spans="1:15" customFormat="1" ht="17.399999999999999">
      <c r="A21" s="45"/>
      <c r="B21" s="18"/>
      <c r="C21" s="18"/>
      <c r="D21" s="50" t="str">
        <f>IF(B21="","",DATEDIF(B21,C21,"m")+1)</f>
        <v/>
      </c>
      <c r="E21" s="80" t="e" cm="1">
        <f t="array" ref="E21">SUMPRODUCT(
  (#REF! = $K21) *
  ISNUMBER(MATCH(#REF!, {"인건비","연구활동비","연구재료비","연구시설장비비","연구수당"}, 0))
 *#REF!
)</f>
        <v>#REF!</v>
      </c>
      <c r="F21" s="46"/>
      <c r="G21" s="47"/>
      <c r="H21" s="48"/>
      <c r="I21" s="49"/>
      <c r="J21" s="68">
        <f>H21+I21</f>
        <v>0</v>
      </c>
      <c r="K21" s="69">
        <f>SUM(F21,G21,H21)</f>
        <v>0</v>
      </c>
      <c r="L21" s="61">
        <f>I21</f>
        <v>0</v>
      </c>
      <c r="M21" s="62">
        <f>K21+L21</f>
        <v>0</v>
      </c>
      <c r="N21" s="16"/>
      <c r="O21" s="72"/>
    </row>
    <row r="22" spans="1:15" customFormat="1" ht="17.399999999999999">
      <c r="A22" s="19" t="s">
        <v>47</v>
      </c>
      <c r="B22" s="20"/>
      <c r="C22" s="21"/>
      <c r="D22" s="52">
        <f>SUM(D17:D21)</f>
        <v>0</v>
      </c>
      <c r="E22" s="53" t="e" cm="1">
        <f t="array" ref="E22">SUMPRODUCT(
  (#REF! = $K22) *
  ISNUMBER(MATCH(#REF!, {"인건비","연구활동비","연구재료비","연구시설장비비","연구수당"}, 0))
 *#REF!
)</f>
        <v>#REF!</v>
      </c>
      <c r="F22" s="54">
        <f>SUM(F17:F21)</f>
        <v>0</v>
      </c>
      <c r="G22" s="52">
        <f>SUM(G17:G21)</f>
        <v>0</v>
      </c>
      <c r="H22" s="55">
        <f>SUM(H17:H21)</f>
        <v>0</v>
      </c>
      <c r="I22" s="56">
        <f>SUM(I17:I21)</f>
        <v>0</v>
      </c>
      <c r="J22" s="57">
        <f>SUM(J17:J21)</f>
        <v>0</v>
      </c>
      <c r="K22" s="58">
        <f>SUM(K17:K21)</f>
        <v>0</v>
      </c>
      <c r="L22" s="58">
        <f>SUM(L17:L21)</f>
        <v>0</v>
      </c>
      <c r="M22" s="59">
        <f>SUM(M17:M21)</f>
        <v>0</v>
      </c>
      <c r="N22" s="59">
        <f>SUM(N17:N21)</f>
        <v>0</v>
      </c>
      <c r="O22" s="81">
        <f>SUM(O17:O21)</f>
        <v>0</v>
      </c>
    </row>
    <row r="27" spans="1:15" ht="15" customHeight="1">
      <c r="C27" s="31"/>
    </row>
    <row r="28" spans="1:15" ht="15" customHeight="1">
      <c r="B28" s="24"/>
      <c r="C28" s="31"/>
      <c r="D28" s="31"/>
      <c r="E28" s="32"/>
    </row>
    <row r="75" spans="1:14" ht="15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</sheetData>
  <sheetProtection selectLockedCells="1" autoFilter="0"/>
  <phoneticPr fontId="3" type="noConversion"/>
  <dataValidations disablePrompts="1" count="2">
    <dataValidation type="list" allowBlank="1" showInputMessage="1" showErrorMessage="1" sqref="B75:C75" xr:uid="{CA73FDAC-184A-4927-AB2A-1CDF9BDF554E}">
      <formula1>$F$3:$H$3</formula1>
    </dataValidation>
    <dataValidation type="list" allowBlank="1" showInputMessage="1" showErrorMessage="1" sqref="A75" xr:uid="{EEB98D16-1946-4104-893F-D8E2215185E7}">
      <formula1>$A$4:$A$17</formula1>
    </dataValidation>
  </dataValidations>
  <pageMargins left="0.7" right="0.7" top="0.75" bottom="0.75" header="0.3" footer="0.3"/>
  <pageSetup paperSize="9"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8FD7-B543-4E4F-8516-CCAF187F460D}">
  <dimension ref="A1:G50"/>
  <sheetViews>
    <sheetView workbookViewId="0">
      <selection activeCell="G5" sqref="G5"/>
    </sheetView>
  </sheetViews>
  <sheetFormatPr defaultRowHeight="17.399999999999999"/>
  <cols>
    <col min="2" max="2" width="71.19921875" style="36" bestFit="1" customWidth="1"/>
    <col min="4" max="5" width="11.09765625" bestFit="1" customWidth="1"/>
  </cols>
  <sheetData>
    <row r="1" spans="1:7">
      <c r="A1" s="33"/>
      <c r="B1" s="37"/>
      <c r="C1" s="33"/>
      <c r="D1" s="100" t="s">
        <v>29</v>
      </c>
      <c r="E1" s="100"/>
      <c r="F1" s="101" t="s">
        <v>30</v>
      </c>
      <c r="G1" s="101"/>
    </row>
    <row r="2" spans="1:7">
      <c r="A2" s="34" t="s">
        <v>31</v>
      </c>
      <c r="B2" s="34" t="s">
        <v>32</v>
      </c>
      <c r="C2" s="34" t="s">
        <v>33</v>
      </c>
      <c r="D2" s="34" t="s">
        <v>2</v>
      </c>
      <c r="E2" s="34" t="s">
        <v>3</v>
      </c>
      <c r="F2" s="34" t="s">
        <v>2</v>
      </c>
      <c r="G2" s="34" t="s">
        <v>3</v>
      </c>
    </row>
    <row r="3" spans="1:7">
      <c r="A3" s="41" t="str">
        <f>IF(B3&lt;&gt;"",SUBTOTAL(3,$B$3:B3),"")</f>
        <v/>
      </c>
      <c r="B3" s="38"/>
      <c r="C3" s="35"/>
      <c r="D3" s="35"/>
      <c r="E3" s="35"/>
      <c r="F3" s="35"/>
      <c r="G3" s="35"/>
    </row>
    <row r="4" spans="1:7">
      <c r="A4" s="41" t="str">
        <f>IF(B4&lt;&gt;"",SUBTOTAL(3,$B$3:B4),"")</f>
        <v/>
      </c>
      <c r="B4" s="38"/>
      <c r="C4" s="35"/>
      <c r="D4" s="35"/>
      <c r="E4" s="35"/>
      <c r="F4" s="35"/>
      <c r="G4" s="35"/>
    </row>
    <row r="5" spans="1:7">
      <c r="A5" s="41" t="str">
        <f>IF(B5&lt;&gt;"",SUBTOTAL(3,$B$3:B5),"")</f>
        <v/>
      </c>
      <c r="B5" s="38"/>
      <c r="C5" s="35"/>
      <c r="D5" s="35"/>
      <c r="E5" s="35"/>
      <c r="F5" s="35"/>
      <c r="G5" s="35"/>
    </row>
    <row r="6" spans="1:7">
      <c r="A6" s="41" t="str">
        <f>IF(B6&lt;&gt;"",SUBTOTAL(3,$B$3:B6),"")</f>
        <v/>
      </c>
      <c r="B6" s="38"/>
      <c r="C6" s="35"/>
      <c r="D6" s="35"/>
      <c r="E6" s="35"/>
      <c r="F6" s="35"/>
      <c r="G6" s="35"/>
    </row>
    <row r="7" spans="1:7">
      <c r="A7" s="41" t="str">
        <f>IF(B7&lt;&gt;"",SUBTOTAL(3,$B$3:B7),"")</f>
        <v/>
      </c>
      <c r="B7" s="38"/>
      <c r="C7" s="35"/>
      <c r="D7" s="35"/>
      <c r="E7" s="35"/>
      <c r="F7" s="35"/>
      <c r="G7" s="35"/>
    </row>
    <row r="8" spans="1:7">
      <c r="A8" s="41" t="str">
        <f>IF(B8&lt;&gt;"",SUBTOTAL(3,$B$3:B8),"")</f>
        <v/>
      </c>
      <c r="B8" s="39"/>
      <c r="C8" s="35"/>
      <c r="D8" s="35"/>
      <c r="E8" s="35"/>
      <c r="F8" s="35"/>
      <c r="G8" s="35"/>
    </row>
    <row r="9" spans="1:7">
      <c r="A9" s="41" t="str">
        <f>IF(B9&lt;&gt;"",SUBTOTAL(3,$B$3:B9),"")</f>
        <v/>
      </c>
      <c r="B9" s="39"/>
      <c r="C9" s="35"/>
      <c r="D9" s="35"/>
      <c r="E9" s="35"/>
      <c r="F9" s="35"/>
      <c r="G9" s="35"/>
    </row>
    <row r="10" spans="1:7">
      <c r="A10" s="41" t="str">
        <f>IF(B10&lt;&gt;"",SUBTOTAL(3,$B$3:B10),"")</f>
        <v/>
      </c>
      <c r="B10" s="38"/>
      <c r="C10" s="35"/>
      <c r="D10" s="35"/>
      <c r="E10" s="35"/>
      <c r="F10" s="35"/>
      <c r="G10" s="35"/>
    </row>
    <row r="11" spans="1:7">
      <c r="A11" s="41" t="str">
        <f>IF(B11&lt;&gt;"",SUBTOTAL(3,$B$3:B11),"")</f>
        <v/>
      </c>
      <c r="B11" s="38"/>
      <c r="C11" s="35"/>
      <c r="D11" s="35"/>
      <c r="E11" s="35"/>
      <c r="F11" s="35"/>
      <c r="G11" s="35"/>
    </row>
    <row r="12" spans="1:7">
      <c r="A12" s="41" t="str">
        <f>IF(B12&lt;&gt;"",SUBTOTAL(3,$B$3:B12),"")</f>
        <v/>
      </c>
      <c r="B12" s="38"/>
      <c r="C12" s="35"/>
      <c r="D12" s="35"/>
      <c r="E12" s="35"/>
      <c r="F12" s="35"/>
      <c r="G12" s="35"/>
    </row>
    <row r="13" spans="1:7">
      <c r="A13" s="41" t="str">
        <f>IF(B13&lt;&gt;"",SUBTOTAL(3,$B$3:B13),"")</f>
        <v/>
      </c>
      <c r="B13" s="38"/>
      <c r="C13" s="35"/>
      <c r="D13" s="35"/>
      <c r="E13" s="35"/>
      <c r="F13" s="35"/>
      <c r="G13" s="35"/>
    </row>
    <row r="14" spans="1:7">
      <c r="A14" s="41" t="str">
        <f>IF(B14&lt;&gt;"",SUBTOTAL(3,$B$3:B14),"")</f>
        <v/>
      </c>
      <c r="B14" s="38"/>
      <c r="C14" s="35"/>
      <c r="D14" s="35"/>
      <c r="E14" s="35"/>
      <c r="F14" s="35"/>
      <c r="G14" s="35"/>
    </row>
    <row r="15" spans="1:7">
      <c r="A15" s="41" t="str">
        <f>IF(B15&lt;&gt;"",SUBTOTAL(3,$B$3:B15),"")</f>
        <v/>
      </c>
      <c r="B15" s="38"/>
      <c r="C15" s="35"/>
      <c r="D15" s="35"/>
      <c r="E15" s="35"/>
      <c r="F15" s="35"/>
      <c r="G15" s="35"/>
    </row>
    <row r="16" spans="1:7">
      <c r="A16" s="41" t="str">
        <f>IF(B16&lt;&gt;"",SUBTOTAL(3,$B$3:B16),"")</f>
        <v/>
      </c>
      <c r="B16" s="38"/>
      <c r="C16" s="35"/>
      <c r="D16" s="35"/>
      <c r="E16" s="35"/>
      <c r="F16" s="35"/>
      <c r="G16" s="35"/>
    </row>
    <row r="17" spans="1:7">
      <c r="A17" s="41" t="str">
        <f>IF(B17&lt;&gt;"",SUBTOTAL(3,$B$3:B17),"")</f>
        <v/>
      </c>
      <c r="B17" s="40"/>
      <c r="C17" s="35"/>
      <c r="D17" s="35"/>
      <c r="E17" s="35"/>
      <c r="F17" s="35"/>
      <c r="G17" s="35"/>
    </row>
    <row r="18" spans="1:7">
      <c r="A18" s="41" t="str">
        <f>IF(B18&lt;&gt;"",SUBTOTAL(3,$B$3:B18),"")</f>
        <v/>
      </c>
      <c r="B18" s="40"/>
      <c r="C18" s="35"/>
      <c r="D18" s="35"/>
      <c r="E18" s="35"/>
      <c r="F18" s="35"/>
      <c r="G18" s="35"/>
    </row>
    <row r="19" spans="1:7">
      <c r="A19" s="41" t="str">
        <f>IF(B19&lt;&gt;"",SUBTOTAL(3,$B$3:B19),"")</f>
        <v/>
      </c>
      <c r="B19" s="40"/>
      <c r="C19" s="35"/>
      <c r="D19" s="35"/>
      <c r="E19" s="35"/>
      <c r="F19" s="35"/>
      <c r="G19" s="35"/>
    </row>
    <row r="20" spans="1:7">
      <c r="A20" s="41" t="str">
        <f>IF(B20&lt;&gt;"",SUBTOTAL(3,$B$3:B20),"")</f>
        <v/>
      </c>
      <c r="B20" s="40"/>
      <c r="C20" s="35"/>
      <c r="D20" s="35"/>
      <c r="E20" s="35"/>
      <c r="F20" s="35"/>
      <c r="G20" s="35"/>
    </row>
    <row r="21" spans="1:7">
      <c r="A21" s="41" t="str">
        <f>IF(B21&lt;&gt;"",SUBTOTAL(3,$B$3:B21),"")</f>
        <v/>
      </c>
      <c r="B21" s="40"/>
      <c r="C21" s="35"/>
      <c r="D21" s="35"/>
      <c r="E21" s="35"/>
      <c r="F21" s="35"/>
      <c r="G21" s="35"/>
    </row>
    <row r="22" spans="1:7">
      <c r="A22" s="41" t="str">
        <f>IF(B22&lt;&gt;"",SUBTOTAL(3,$B$3:B22),"")</f>
        <v/>
      </c>
      <c r="B22" s="40"/>
      <c r="C22" s="35"/>
      <c r="D22" s="35"/>
      <c r="E22" s="35"/>
      <c r="F22" s="35"/>
      <c r="G22" s="35"/>
    </row>
    <row r="23" spans="1:7">
      <c r="A23" s="41" t="str">
        <f>IF(B23&lt;&gt;"",SUBTOTAL(3,$B$3:B23),"")</f>
        <v/>
      </c>
      <c r="B23" s="40"/>
      <c r="C23" s="35"/>
      <c r="D23" s="35"/>
      <c r="E23" s="35"/>
      <c r="F23" s="35"/>
      <c r="G23" s="35"/>
    </row>
    <row r="24" spans="1:7">
      <c r="A24" s="41" t="str">
        <f>IF(B24&lt;&gt;"",SUBTOTAL(3,$B$3:B24),"")</f>
        <v/>
      </c>
      <c r="B24" s="40"/>
      <c r="C24" s="35"/>
      <c r="D24" s="35"/>
      <c r="E24" s="35"/>
      <c r="F24" s="35"/>
      <c r="G24" s="35"/>
    </row>
    <row r="25" spans="1:7">
      <c r="A25" s="41" t="str">
        <f>IF(B25&lt;&gt;"",SUBTOTAL(3,$B$3:B25),"")</f>
        <v/>
      </c>
      <c r="B25" s="40"/>
      <c r="C25" s="35"/>
      <c r="D25" s="35"/>
      <c r="E25" s="35"/>
      <c r="F25" s="35"/>
      <c r="G25" s="35"/>
    </row>
    <row r="26" spans="1:7">
      <c r="A26" s="41" t="str">
        <f>IF(B26&lt;&gt;"",SUBTOTAL(3,$B$3:B26),"")</f>
        <v/>
      </c>
      <c r="B26" s="40"/>
      <c r="C26" s="35"/>
      <c r="D26" s="35"/>
      <c r="E26" s="35"/>
      <c r="F26" s="35"/>
      <c r="G26" s="35"/>
    </row>
    <row r="27" spans="1:7">
      <c r="A27" s="41" t="str">
        <f>IF(B27&lt;&gt;"",SUBTOTAL(3,$B$3:B27),"")</f>
        <v/>
      </c>
      <c r="B27" s="40"/>
      <c r="C27" s="35"/>
      <c r="D27" s="35"/>
      <c r="E27" s="35"/>
      <c r="F27" s="35"/>
      <c r="G27" s="35"/>
    </row>
    <row r="28" spans="1:7">
      <c r="A28" s="41" t="str">
        <f>IF(B28&lt;&gt;"",SUBTOTAL(3,$B$3:B28),"")</f>
        <v/>
      </c>
      <c r="B28" s="40"/>
      <c r="C28" s="35"/>
      <c r="D28" s="35"/>
      <c r="E28" s="35"/>
      <c r="F28" s="35"/>
      <c r="G28" s="35"/>
    </row>
    <row r="29" spans="1:7">
      <c r="A29" s="41" t="str">
        <f>IF(B29&lt;&gt;"",SUBTOTAL(3,$B$3:B29),"")</f>
        <v/>
      </c>
      <c r="B29" s="40"/>
      <c r="C29" s="35"/>
      <c r="D29" s="35"/>
      <c r="E29" s="35"/>
      <c r="F29" s="35"/>
      <c r="G29" s="35"/>
    </row>
    <row r="30" spans="1:7">
      <c r="A30" s="41" t="str">
        <f>IF(B30&lt;&gt;"",SUBTOTAL(3,$B$3:B30),"")</f>
        <v/>
      </c>
      <c r="B30" s="40"/>
      <c r="C30" s="35"/>
      <c r="D30" s="35"/>
      <c r="E30" s="35"/>
      <c r="F30" s="35"/>
      <c r="G30" s="35"/>
    </row>
    <row r="31" spans="1:7">
      <c r="A31" s="41" t="str">
        <f>IF(B31&lt;&gt;"",SUBTOTAL(3,$B$3:B31),"")</f>
        <v/>
      </c>
      <c r="B31" s="40"/>
      <c r="C31" s="35"/>
      <c r="D31" s="35"/>
      <c r="E31" s="35"/>
      <c r="F31" s="35"/>
      <c r="G31" s="35"/>
    </row>
    <row r="32" spans="1:7">
      <c r="A32" s="41" t="str">
        <f>IF(B32&lt;&gt;"",SUBTOTAL(3,$B$3:B32),"")</f>
        <v/>
      </c>
      <c r="B32" s="40"/>
      <c r="C32" s="35"/>
      <c r="D32" s="35"/>
      <c r="E32" s="35"/>
      <c r="F32" s="35"/>
      <c r="G32" s="35"/>
    </row>
    <row r="33" spans="1:7">
      <c r="A33" s="41" t="str">
        <f>IF(B33&lt;&gt;"",SUBTOTAL(3,$B$3:B33),"")</f>
        <v/>
      </c>
      <c r="B33" s="40"/>
      <c r="C33" s="35"/>
      <c r="D33" s="35"/>
      <c r="E33" s="35"/>
      <c r="F33" s="35"/>
      <c r="G33" s="35"/>
    </row>
    <row r="34" spans="1:7">
      <c r="A34" s="41" t="str">
        <f>IF(B34&lt;&gt;"",SUBTOTAL(3,$B$3:B34),"")</f>
        <v/>
      </c>
      <c r="B34" s="40"/>
      <c r="C34" s="35"/>
      <c r="D34" s="35"/>
      <c r="E34" s="35"/>
      <c r="F34" s="35"/>
      <c r="G34" s="35"/>
    </row>
    <row r="35" spans="1:7">
      <c r="A35" s="41" t="str">
        <f>IF(B35&lt;&gt;"",SUBTOTAL(3,$B$3:B35),"")</f>
        <v/>
      </c>
      <c r="B35" s="40"/>
      <c r="C35" s="35"/>
      <c r="D35" s="35"/>
      <c r="E35" s="35"/>
      <c r="F35" s="35"/>
      <c r="G35" s="35"/>
    </row>
    <row r="36" spans="1:7">
      <c r="A36" s="41" t="str">
        <f>IF(B36&lt;&gt;"",SUBTOTAL(3,$B$3:B36),"")</f>
        <v/>
      </c>
      <c r="B36" s="40"/>
      <c r="C36" s="35"/>
      <c r="D36" s="35"/>
      <c r="E36" s="35"/>
      <c r="F36" s="35"/>
      <c r="G36" s="35"/>
    </row>
    <row r="37" spans="1:7">
      <c r="A37" s="41" t="str">
        <f>IF(B37&lt;&gt;"",SUBTOTAL(3,$B$3:B37),"")</f>
        <v/>
      </c>
      <c r="B37" s="40"/>
      <c r="D37" s="35"/>
      <c r="E37" s="35"/>
      <c r="F37" s="35"/>
      <c r="G37" s="35"/>
    </row>
    <row r="38" spans="1:7">
      <c r="A38" s="41" t="str">
        <f>IF(B38&lt;&gt;"",SUBTOTAL(3,$B$3:B38),"")</f>
        <v/>
      </c>
      <c r="B38" s="40"/>
      <c r="D38" s="35"/>
      <c r="E38" s="35"/>
      <c r="F38" s="35"/>
      <c r="G38" s="35"/>
    </row>
    <row r="39" spans="1:7">
      <c r="A39" s="41" t="str">
        <f>IF(B39&lt;&gt;"",SUBTOTAL(3,$B$3:B39),"")</f>
        <v/>
      </c>
      <c r="B39" s="40"/>
      <c r="D39" s="35"/>
      <c r="E39" s="35"/>
      <c r="F39" s="35"/>
      <c r="G39" s="35"/>
    </row>
    <row r="40" spans="1:7">
      <c r="A40" s="41" t="str">
        <f>IF(B40&lt;&gt;"",SUBTOTAL(3,$B$3:B40),"")</f>
        <v/>
      </c>
      <c r="B40" s="40"/>
      <c r="D40" s="35"/>
      <c r="E40" s="35"/>
      <c r="F40" s="35"/>
      <c r="G40" s="35"/>
    </row>
    <row r="41" spans="1:7">
      <c r="A41" s="41" t="str">
        <f>IF(B41&lt;&gt;"",SUBTOTAL(3,$B$3:B41),"")</f>
        <v/>
      </c>
      <c r="B41" s="40"/>
      <c r="D41" s="35"/>
      <c r="E41" s="35"/>
      <c r="F41" s="35"/>
      <c r="G41" s="35"/>
    </row>
    <row r="42" spans="1:7">
      <c r="A42" s="41" t="str">
        <f>IF(B42&lt;&gt;"",SUBTOTAL(3,$B$3:B42),"")</f>
        <v/>
      </c>
      <c r="B42" s="40"/>
      <c r="D42" s="35"/>
      <c r="E42" s="35"/>
      <c r="F42" s="35"/>
      <c r="G42" s="35"/>
    </row>
    <row r="43" spans="1:7">
      <c r="A43" s="41" t="str">
        <f>IF(B43&lt;&gt;"",SUBTOTAL(3,$B$3:B43),"")</f>
        <v/>
      </c>
      <c r="B43" s="40"/>
      <c r="D43" s="35"/>
      <c r="E43" s="35"/>
      <c r="F43" s="35"/>
      <c r="G43" s="35"/>
    </row>
    <row r="44" spans="1:7">
      <c r="A44" s="41" t="str">
        <f>IF(B44&lt;&gt;"",SUBTOTAL(3,$B$3:B44),"")</f>
        <v/>
      </c>
      <c r="B44" s="40"/>
      <c r="D44" s="35"/>
      <c r="E44" s="35"/>
      <c r="F44" s="35"/>
      <c r="G44" s="35"/>
    </row>
    <row r="45" spans="1:7">
      <c r="A45" s="41" t="str">
        <f>IF(B45&lt;&gt;"",SUBTOTAL(3,$B$3:B45),"")</f>
        <v/>
      </c>
      <c r="B45" s="40"/>
      <c r="D45" s="35"/>
      <c r="E45" s="35"/>
      <c r="F45" s="35"/>
      <c r="G45" s="35"/>
    </row>
    <row r="46" spans="1:7">
      <c r="A46" s="41" t="str">
        <f>IF(B46&lt;&gt;"",SUBTOTAL(3,$B$3:B46),"")</f>
        <v/>
      </c>
      <c r="B46" s="40"/>
      <c r="D46" s="35"/>
      <c r="E46" s="35"/>
      <c r="F46" s="35"/>
      <c r="G46" s="35"/>
    </row>
    <row r="47" spans="1:7">
      <c r="A47" s="41" t="str">
        <f>IF(B47&lt;&gt;"",SUBTOTAL(3,$B$3:B47),"")</f>
        <v/>
      </c>
      <c r="B47" s="40"/>
      <c r="D47" s="35"/>
      <c r="E47" s="35"/>
      <c r="F47" s="35"/>
      <c r="G47" s="35"/>
    </row>
    <row r="48" spans="1:7">
      <c r="A48" s="41" t="str">
        <f>IF(B48&lt;&gt;"",SUBTOTAL(3,$B$3:B48),"")</f>
        <v/>
      </c>
      <c r="B48" s="40"/>
      <c r="D48" s="35"/>
      <c r="E48" s="35"/>
      <c r="F48" s="35"/>
      <c r="G48" s="35"/>
    </row>
    <row r="49" spans="1:7">
      <c r="A49" s="41" t="str">
        <f>IF(B49&lt;&gt;"",SUBTOTAL(3,$B$3:B49),"")</f>
        <v/>
      </c>
      <c r="B49" s="40"/>
      <c r="D49" s="35"/>
      <c r="E49" s="35"/>
      <c r="F49" s="35"/>
      <c r="G49" s="35"/>
    </row>
    <row r="50" spans="1:7">
      <c r="A50" s="41" t="str">
        <f>IF(B50&lt;&gt;"",SUBTOTAL(3,$B$3:B50),"")</f>
        <v/>
      </c>
      <c r="B50" s="40"/>
      <c r="D50" s="35"/>
      <c r="E50" s="35"/>
      <c r="F50" s="35"/>
      <c r="G50" s="35"/>
    </row>
  </sheetData>
  <sheetProtection sheet="1" objects="1" scenarios="1"/>
  <mergeCells count="2">
    <mergeCell ref="D1:E1"/>
    <mergeCell ref="F1:G1"/>
  </mergeCells>
  <phoneticPr fontId="3" type="noConversion"/>
  <conditionalFormatting sqref="A3:G50">
    <cfRule type="expression" dxfId="12" priority="1">
      <formula>OR($C3="2단계 3연차", $C3="3단계 3연차")</formula>
    </cfRule>
    <cfRule type="expression" dxfId="11" priority="2">
      <formula>OR($C3="2단계 2연차", $C3="3단계 2연차")</formula>
    </cfRule>
    <cfRule type="expression" dxfId="10" priority="3">
      <formula>OR($C3="2단계 1연차", $C3="3단계 1연차")</formula>
    </cfRule>
    <cfRule type="expression" dxfId="9" priority="4">
      <formula>OR($C3="0단계 3연차", $C3="1단계 3연차")</formula>
    </cfRule>
    <cfRule type="expression" dxfId="8" priority="5">
      <formula>OR($C3="0단계 2연차", $C3="1단계 2연차")</formula>
    </cfRule>
    <cfRule type="expression" dxfId="7" priority="6">
      <formula>OR($C3="0단계 1연차", $C3="1단계 1연차")</formula>
    </cfRule>
  </conditionalFormatting>
  <pageMargins left="0.7" right="0.7" top="0.75" bottom="0.75" header="0.3" footer="0.3"/>
  <ignoredErrors>
    <ignoredError sqref="A3:A4 A5:A11 A12:A50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C0AB1B-468E-4B95-9E28-23CEE24A29DF}">
          <x14:formula1>
            <xm:f>개요!$A$17:$A$21</xm:f>
          </x14:formula1>
          <xm:sqref>C3:C50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D152-141A-4EE5-9AF0-6CF2B63B97BD}">
  <dimension ref="A1:M31"/>
  <sheetViews>
    <sheetView workbookViewId="0">
      <selection activeCell="C13" sqref="C13"/>
    </sheetView>
  </sheetViews>
  <sheetFormatPr defaultRowHeight="17.399999999999999"/>
  <cols>
    <col min="1" max="1" width="54.59765625" style="90" bestFit="1" customWidth="1"/>
    <col min="2" max="16384" width="8.796875" style="82"/>
  </cols>
  <sheetData>
    <row r="1" spans="1:13" ht="17.399999999999999" customHeight="1">
      <c r="A1" s="94" t="s">
        <v>34</v>
      </c>
      <c r="B1" s="94" t="s">
        <v>35</v>
      </c>
      <c r="C1" s="94" t="s">
        <v>36</v>
      </c>
      <c r="D1" s="94" t="s">
        <v>37</v>
      </c>
      <c r="E1" s="97" t="s">
        <v>43</v>
      </c>
      <c r="F1" s="98"/>
      <c r="G1" s="99"/>
      <c r="H1" s="97" t="s">
        <v>42</v>
      </c>
      <c r="I1" s="98"/>
      <c r="J1" s="99"/>
      <c r="K1" s="96" t="s">
        <v>39</v>
      </c>
      <c r="L1" s="96"/>
      <c r="M1" s="96"/>
    </row>
    <row r="2" spans="1:13">
      <c r="A2" s="95"/>
      <c r="B2" s="95"/>
      <c r="C2" s="95"/>
      <c r="D2" s="95"/>
      <c r="E2" s="91" t="s">
        <v>46</v>
      </c>
      <c r="F2" s="91" t="s">
        <v>44</v>
      </c>
      <c r="G2" s="91" t="s">
        <v>45</v>
      </c>
      <c r="H2" s="91" t="s">
        <v>46</v>
      </c>
      <c r="I2" s="91" t="s">
        <v>44</v>
      </c>
      <c r="J2" s="91" t="s">
        <v>45</v>
      </c>
      <c r="K2" s="91" t="s">
        <v>46</v>
      </c>
      <c r="L2" s="91" t="s">
        <v>44</v>
      </c>
      <c r="M2" s="91" t="s">
        <v>45</v>
      </c>
    </row>
    <row r="3" spans="1:13">
      <c r="A3" s="89"/>
      <c r="B3" s="83"/>
      <c r="C3" s="83"/>
      <c r="D3" s="83"/>
      <c r="E3" s="83"/>
      <c r="F3" s="83"/>
      <c r="G3" s="83"/>
      <c r="H3" s="84" t="str" cm="1">
        <f t="array" ref="H3">IFERROR(IF(ISNUMBER(INDEX(정량지표상세!$C$2:$C$24, MATCH(1, (정량지표상세!$A$2:$A$24=$A3) * (정량지표상세!$B$2:$B$24=H$2), 0))),
    SUMIFS(정량지표상세!$C$2:$C$24, 정량지표상세!$A$2:$A$24, $A3, 정량지표상세!$B$2:$B$24, H$2),
    INDEX(정량지표상세!$C$2:$C$24, MATCH(1, (정량지표상세!$A$2:$A$24=$A3) * (정량지표상세!$B$2:$B$24=H$2), 0))),"")</f>
        <v/>
      </c>
      <c r="I3" s="84" t="str" cm="1">
        <f t="array" ref="I3">IFERROR(IF(ISNUMBER(INDEX(정량지표상세!$C$2:$C$24, MATCH(1, (정량지표상세!$A$2:$A$24=$A3) * (정량지표상세!$B$2:$B$24=I$2), 0))),
    SUMIFS(정량지표상세!$C$2:$C$24, 정량지표상세!$A$2:$A$24, $A3, 정량지표상세!$B$2:$B$24, I$2),
    INDEX(정량지표상세!$C$2:$C$24, MATCH(1, (정량지표상세!$A$2:$A$24=$A3) * (정량지표상세!$B$2:$B$24=I$2), 0))),"")</f>
        <v/>
      </c>
      <c r="J3" s="84" t="str" cm="1">
        <f t="array" ref="J3">IFERROR(IF(ISNUMBER(INDEX(정량지표상세!$C$2:$C$24, MATCH(1, (정량지표상세!$A$2:$A$24=$A3) * (정량지표상세!$B$2:$B$24=J$2), 0))),
    SUMIFS(정량지표상세!$C$2:$C$24, 정량지표상세!$A$2:$A$24, $A3, 정량지표상세!$B$2:$B$24, J$2),
    INDEX(정량지표상세!$C$2:$C$24, MATCH(1, (정량지표상세!$A$2:$A$24=$A3) * (정량지표상세!$B$2:$B$24=J$2), 0))),"")</f>
        <v/>
      </c>
      <c r="K3" s="85" t="str">
        <f t="shared" ref="K3:M31" si="0">IF(E3="","",
   IF(ISNUMBER(E3),
      IF(N(H3)/E3&gt;=1,"달성","미달성"),
      IF(E3=H3,"달성","미달성")
   )
)</f>
        <v/>
      </c>
      <c r="L3" s="85" t="str">
        <f t="shared" si="0"/>
        <v/>
      </c>
      <c r="M3" s="85" t="str">
        <f t="shared" si="0"/>
        <v/>
      </c>
    </row>
    <row r="4" spans="1:13">
      <c r="A4" s="89"/>
      <c r="B4" s="83"/>
      <c r="C4" s="83"/>
      <c r="D4" s="83"/>
      <c r="E4" s="83"/>
      <c r="F4" s="83"/>
      <c r="G4" s="83"/>
      <c r="H4" s="84" t="str" cm="1">
        <f t="array" ref="H4">IFERROR(IF(ISNUMBER(INDEX(정량지표상세!$C$2:$C$24, MATCH(1, (정량지표상세!$A$2:$A$24=$A4) * (정량지표상세!$B$2:$B$24=H$2), 0))),
    SUMIFS(정량지표상세!$C$2:$C$24, 정량지표상세!$A$2:$A$24, $A4, 정량지표상세!$B$2:$B$24, H$2),
    INDEX(정량지표상세!$C$2:$C$24, MATCH(1, (정량지표상세!$A$2:$A$24=$A4) * (정량지표상세!$B$2:$B$24=H$2), 0))),"")</f>
        <v/>
      </c>
      <c r="I4" s="84" t="str" cm="1">
        <f t="array" ref="I4">IFERROR(IF(ISNUMBER(INDEX(정량지표상세!$C$2:$C$24, MATCH(1, (정량지표상세!$A$2:$A$24=$A4) * (정량지표상세!$B$2:$B$24=I$2), 0))),
    SUMIFS(정량지표상세!$C$2:$C$24, 정량지표상세!$A$2:$A$24, $A4, 정량지표상세!$B$2:$B$24, I$2),
    INDEX(정량지표상세!$C$2:$C$24, MATCH(1, (정량지표상세!$A$2:$A$24=$A4) * (정량지표상세!$B$2:$B$24=I$2), 0))),"")</f>
        <v/>
      </c>
      <c r="J4" s="84" t="str" cm="1">
        <f t="array" ref="J4">IFERROR(IF(ISNUMBER(INDEX(정량지표상세!$C$2:$C$24, MATCH(1, (정량지표상세!$A$2:$A$24=$A4) * (정량지표상세!$B$2:$B$24=J$2), 0))),
    SUMIFS(정량지표상세!$C$2:$C$24, 정량지표상세!$A$2:$A$24, $A4, 정량지표상세!$B$2:$B$24, J$2),
    INDEX(정량지표상세!$C$2:$C$24, MATCH(1, (정량지표상세!$A$2:$A$24=$A4) * (정량지표상세!$B$2:$B$24=J$2), 0))),"")</f>
        <v/>
      </c>
      <c r="K4" s="85" t="str">
        <f t="shared" si="0"/>
        <v/>
      </c>
      <c r="L4" s="85" t="str">
        <f t="shared" si="0"/>
        <v/>
      </c>
      <c r="M4" s="85" t="str">
        <f t="shared" si="0"/>
        <v/>
      </c>
    </row>
    <row r="5" spans="1:13">
      <c r="A5" s="89"/>
      <c r="B5" s="83"/>
      <c r="C5" s="83"/>
      <c r="D5" s="83"/>
      <c r="E5" s="83"/>
      <c r="F5" s="83"/>
      <c r="G5" s="83"/>
      <c r="H5" s="84" t="str" cm="1">
        <f t="array" ref="H5">IFERROR(IF(ISNUMBER(INDEX(정량지표상세!$C$2:$C$24, MATCH(1, (정량지표상세!$A$2:$A$24=$A5) * (정량지표상세!$B$2:$B$24=H$2), 0))),
    SUMIFS(정량지표상세!$C$2:$C$24, 정량지표상세!$A$2:$A$24, $A5, 정량지표상세!$B$2:$B$24, H$2),
    INDEX(정량지표상세!$C$2:$C$24, MATCH(1, (정량지표상세!$A$2:$A$24=$A5) * (정량지표상세!$B$2:$B$24=H$2), 0))),"")</f>
        <v/>
      </c>
      <c r="I5" s="84" t="str" cm="1">
        <f t="array" ref="I5">IFERROR(IF(ISNUMBER(INDEX(정량지표상세!$C$2:$C$24, MATCH(1, (정량지표상세!$A$2:$A$24=$A5) * (정량지표상세!$B$2:$B$24=I$2), 0))),
    SUMIFS(정량지표상세!$C$2:$C$24, 정량지표상세!$A$2:$A$24, $A5, 정량지표상세!$B$2:$B$24, I$2),
    INDEX(정량지표상세!$C$2:$C$24, MATCH(1, (정량지표상세!$A$2:$A$24=$A5) * (정량지표상세!$B$2:$B$24=I$2), 0))),"")</f>
        <v/>
      </c>
      <c r="J5" s="84" t="str" cm="1">
        <f t="array" ref="J5">IFERROR(IF(ISNUMBER(INDEX(정량지표상세!$C$2:$C$24, MATCH(1, (정량지표상세!$A$2:$A$24=$A5) * (정량지표상세!$B$2:$B$24=J$2), 0))),
    SUMIFS(정량지표상세!$C$2:$C$24, 정량지표상세!$A$2:$A$24, $A5, 정량지표상세!$B$2:$B$24, J$2),
    INDEX(정량지표상세!$C$2:$C$24, MATCH(1, (정량지표상세!$A$2:$A$24=$A5) * (정량지표상세!$B$2:$B$24=J$2), 0))),"")</f>
        <v/>
      </c>
      <c r="K5" s="85" t="str">
        <f t="shared" si="0"/>
        <v/>
      </c>
      <c r="L5" s="85" t="str">
        <f t="shared" si="0"/>
        <v/>
      </c>
      <c r="M5" s="85" t="str">
        <f t="shared" si="0"/>
        <v/>
      </c>
    </row>
    <row r="6" spans="1:13">
      <c r="A6" s="89"/>
      <c r="B6" s="83"/>
      <c r="C6" s="83"/>
      <c r="D6" s="83"/>
      <c r="E6" s="83"/>
      <c r="F6" s="83"/>
      <c r="G6" s="83"/>
      <c r="H6" s="84" t="str" cm="1">
        <f t="array" ref="H6">IFERROR(IF(ISNUMBER(INDEX(정량지표상세!$C$2:$C$24, MATCH(1, (정량지표상세!$A$2:$A$24=$A6) * (정량지표상세!$B$2:$B$24=H$2), 0))),
    SUMIFS(정량지표상세!$C$2:$C$24, 정량지표상세!$A$2:$A$24, $A6, 정량지표상세!$B$2:$B$24, H$2),
    INDEX(정량지표상세!$C$2:$C$24, MATCH(1, (정량지표상세!$A$2:$A$24=$A6) * (정량지표상세!$B$2:$B$24=H$2), 0))),"")</f>
        <v/>
      </c>
      <c r="I6" s="84" t="str" cm="1">
        <f t="array" ref="I6">IFERROR(IF(ISNUMBER(INDEX(정량지표상세!$C$2:$C$24, MATCH(1, (정량지표상세!$A$2:$A$24=$A6) * (정량지표상세!$B$2:$B$24=I$2), 0))),
    SUMIFS(정량지표상세!$C$2:$C$24, 정량지표상세!$A$2:$A$24, $A6, 정량지표상세!$B$2:$B$24, I$2),
    INDEX(정량지표상세!$C$2:$C$24, MATCH(1, (정량지표상세!$A$2:$A$24=$A6) * (정량지표상세!$B$2:$B$24=I$2), 0))),"")</f>
        <v/>
      </c>
      <c r="J6" s="84" t="str" cm="1">
        <f t="array" ref="J6">IFERROR(IF(ISNUMBER(INDEX(정량지표상세!$C$2:$C$24, MATCH(1, (정량지표상세!$A$2:$A$24=$A6) * (정량지표상세!$B$2:$B$24=J$2), 0))),
    SUMIFS(정량지표상세!$C$2:$C$24, 정량지표상세!$A$2:$A$24, $A6, 정량지표상세!$B$2:$B$24, J$2),
    INDEX(정량지표상세!$C$2:$C$24, MATCH(1, (정량지표상세!$A$2:$A$24=$A6) * (정량지표상세!$B$2:$B$24=J$2), 0))),"")</f>
        <v/>
      </c>
      <c r="K6" s="85" t="str">
        <f t="shared" si="0"/>
        <v/>
      </c>
      <c r="L6" s="85" t="str">
        <f t="shared" si="0"/>
        <v/>
      </c>
      <c r="M6" s="85" t="str">
        <f t="shared" si="0"/>
        <v/>
      </c>
    </row>
    <row r="7" spans="1:13">
      <c r="A7" s="89"/>
      <c r="B7" s="83"/>
      <c r="C7" s="83"/>
      <c r="D7" s="83"/>
      <c r="E7" s="83"/>
      <c r="F7" s="83"/>
      <c r="G7" s="83"/>
      <c r="H7" s="84" t="str" cm="1">
        <f t="array" ref="H7">IFERROR(IF(ISNUMBER(INDEX(정량지표상세!$C$2:$C$24, MATCH(1, (정량지표상세!$A$2:$A$24=$A7) * (정량지표상세!$B$2:$B$24=H$2), 0))),
    SUMIFS(정량지표상세!$C$2:$C$24, 정량지표상세!$A$2:$A$24, $A7, 정량지표상세!$B$2:$B$24, H$2),
    INDEX(정량지표상세!$C$2:$C$24, MATCH(1, (정량지표상세!$A$2:$A$24=$A7) * (정량지표상세!$B$2:$B$24=H$2), 0))),"")</f>
        <v/>
      </c>
      <c r="I7" s="84" t="str" cm="1">
        <f t="array" ref="I7">IFERROR(IF(ISNUMBER(INDEX(정량지표상세!$C$2:$C$24, MATCH(1, (정량지표상세!$A$2:$A$24=$A7) * (정량지표상세!$B$2:$B$24=I$2), 0))),
    SUMIFS(정량지표상세!$C$2:$C$24, 정량지표상세!$A$2:$A$24, $A7, 정량지표상세!$B$2:$B$24, I$2),
    INDEX(정량지표상세!$C$2:$C$24, MATCH(1, (정량지표상세!$A$2:$A$24=$A7) * (정량지표상세!$B$2:$B$24=I$2), 0))),"")</f>
        <v/>
      </c>
      <c r="J7" s="84" t="str" cm="1">
        <f t="array" ref="J7">IFERROR(IF(ISNUMBER(INDEX(정량지표상세!$C$2:$C$24, MATCH(1, (정량지표상세!$A$2:$A$24=$A7) * (정량지표상세!$B$2:$B$24=J$2), 0))),
    SUMIFS(정량지표상세!$C$2:$C$24, 정량지표상세!$A$2:$A$24, $A7, 정량지표상세!$B$2:$B$24, J$2),
    INDEX(정량지표상세!$C$2:$C$24, MATCH(1, (정량지표상세!$A$2:$A$24=$A7) * (정량지표상세!$B$2:$B$24=J$2), 0))),"")</f>
        <v/>
      </c>
      <c r="K7" s="85" t="str">
        <f t="shared" si="0"/>
        <v/>
      </c>
      <c r="L7" s="85" t="str">
        <f t="shared" si="0"/>
        <v/>
      </c>
      <c r="M7" s="85" t="str">
        <f t="shared" si="0"/>
        <v/>
      </c>
    </row>
    <row r="8" spans="1:13">
      <c r="A8" s="89"/>
      <c r="B8" s="83"/>
      <c r="C8" s="83"/>
      <c r="D8" s="83"/>
      <c r="E8" s="83"/>
      <c r="F8" s="83"/>
      <c r="G8" s="83"/>
      <c r="H8" s="84" t="str" cm="1">
        <f t="array" ref="H8">IFERROR(IF(ISNUMBER(INDEX(정량지표상세!$C$2:$C$24, MATCH(1, (정량지표상세!$A$2:$A$24=$A8) * (정량지표상세!$B$2:$B$24=H$2), 0))),
    SUMIFS(정량지표상세!$C$2:$C$24, 정량지표상세!$A$2:$A$24, $A8, 정량지표상세!$B$2:$B$24, H$2),
    INDEX(정량지표상세!$C$2:$C$24, MATCH(1, (정량지표상세!$A$2:$A$24=$A8) * (정량지표상세!$B$2:$B$24=H$2), 0))),"")</f>
        <v/>
      </c>
      <c r="I8" s="84" t="str" cm="1">
        <f t="array" ref="I8">IFERROR(IF(ISNUMBER(INDEX(정량지표상세!$C$2:$C$24, MATCH(1, (정량지표상세!$A$2:$A$24=$A8) * (정량지표상세!$B$2:$B$24=I$2), 0))),
    SUMIFS(정량지표상세!$C$2:$C$24, 정량지표상세!$A$2:$A$24, $A8, 정량지표상세!$B$2:$B$24, I$2),
    INDEX(정량지표상세!$C$2:$C$24, MATCH(1, (정량지표상세!$A$2:$A$24=$A8) * (정량지표상세!$B$2:$B$24=I$2), 0))),"")</f>
        <v/>
      </c>
      <c r="J8" s="84" t="str" cm="1">
        <f t="array" ref="J8">IFERROR(IF(ISNUMBER(INDEX(정량지표상세!$C$2:$C$24, MATCH(1, (정량지표상세!$A$2:$A$24=$A8) * (정량지표상세!$B$2:$B$24=J$2), 0))),
    SUMIFS(정량지표상세!$C$2:$C$24, 정량지표상세!$A$2:$A$24, $A8, 정량지표상세!$B$2:$B$24, J$2),
    INDEX(정량지표상세!$C$2:$C$24, MATCH(1, (정량지표상세!$A$2:$A$24=$A8) * (정량지표상세!$B$2:$B$24=J$2), 0))),"")</f>
        <v/>
      </c>
      <c r="K8" s="85" t="str">
        <f t="shared" si="0"/>
        <v/>
      </c>
      <c r="L8" s="85" t="str">
        <f t="shared" si="0"/>
        <v/>
      </c>
      <c r="M8" s="85" t="str">
        <f t="shared" si="0"/>
        <v/>
      </c>
    </row>
    <row r="9" spans="1:13">
      <c r="A9" s="89"/>
      <c r="B9" s="83"/>
      <c r="C9" s="83"/>
      <c r="D9" s="83"/>
      <c r="E9" s="83"/>
      <c r="F9" s="83"/>
      <c r="G9" s="83"/>
      <c r="H9" s="84" t="str" cm="1">
        <f t="array" ref="H9">IFERROR(IF(ISNUMBER(INDEX(정량지표상세!$C$2:$C$24, MATCH(1, (정량지표상세!$A$2:$A$24=$A9) * (정량지표상세!$B$2:$B$24=H$2), 0))),
    SUMIFS(정량지표상세!$C$2:$C$24, 정량지표상세!$A$2:$A$24, $A9, 정량지표상세!$B$2:$B$24, H$2),
    INDEX(정량지표상세!$C$2:$C$24, MATCH(1, (정량지표상세!$A$2:$A$24=$A9) * (정량지표상세!$B$2:$B$24=H$2), 0))),"")</f>
        <v/>
      </c>
      <c r="I9" s="84" t="str" cm="1">
        <f t="array" ref="I9">IFERROR(IF(ISNUMBER(INDEX(정량지표상세!$C$2:$C$24, MATCH(1, (정량지표상세!$A$2:$A$24=$A9) * (정량지표상세!$B$2:$B$24=I$2), 0))),
    SUMIFS(정량지표상세!$C$2:$C$24, 정량지표상세!$A$2:$A$24, $A9, 정량지표상세!$B$2:$B$24, I$2),
    INDEX(정량지표상세!$C$2:$C$24, MATCH(1, (정량지표상세!$A$2:$A$24=$A9) * (정량지표상세!$B$2:$B$24=I$2), 0))),"")</f>
        <v/>
      </c>
      <c r="J9" s="84" t="str" cm="1">
        <f t="array" ref="J9">IFERROR(IF(ISNUMBER(INDEX(정량지표상세!$C$2:$C$24, MATCH(1, (정량지표상세!$A$2:$A$24=$A9) * (정량지표상세!$B$2:$B$24=J$2), 0))),
    SUMIFS(정량지표상세!$C$2:$C$24, 정량지표상세!$A$2:$A$24, $A9, 정량지표상세!$B$2:$B$24, J$2),
    INDEX(정량지표상세!$C$2:$C$24, MATCH(1, (정량지표상세!$A$2:$A$24=$A9) * (정량지표상세!$B$2:$B$24=J$2), 0))),"")</f>
        <v/>
      </c>
      <c r="K9" s="85" t="str">
        <f t="shared" si="0"/>
        <v/>
      </c>
      <c r="L9" s="85" t="str">
        <f t="shared" si="0"/>
        <v/>
      </c>
      <c r="M9" s="85" t="str">
        <f t="shared" si="0"/>
        <v/>
      </c>
    </row>
    <row r="10" spans="1:13">
      <c r="A10" s="89"/>
      <c r="B10" s="83"/>
      <c r="C10" s="83"/>
      <c r="D10" s="83"/>
      <c r="E10" s="83"/>
      <c r="F10" s="83"/>
      <c r="G10" s="83"/>
      <c r="H10" s="84" t="str" cm="1">
        <f t="array" ref="H10">IFERROR(IF(ISNUMBER(INDEX(정량지표상세!$C$2:$C$24, MATCH(1, (정량지표상세!$A$2:$A$24=$A10) * (정량지표상세!$B$2:$B$24=H$2), 0))),
    SUMIFS(정량지표상세!$C$2:$C$24, 정량지표상세!$A$2:$A$24, $A10, 정량지표상세!$B$2:$B$24, H$2),
    INDEX(정량지표상세!$C$2:$C$24, MATCH(1, (정량지표상세!$A$2:$A$24=$A10) * (정량지표상세!$B$2:$B$24=H$2), 0))),"")</f>
        <v/>
      </c>
      <c r="I10" s="84" t="str" cm="1">
        <f t="array" ref="I10">IFERROR(IF(ISNUMBER(INDEX(정량지표상세!$C$2:$C$24, MATCH(1, (정량지표상세!$A$2:$A$24=$A10) * (정량지표상세!$B$2:$B$24=I$2), 0))),
    SUMIFS(정량지표상세!$C$2:$C$24, 정량지표상세!$A$2:$A$24, $A10, 정량지표상세!$B$2:$B$24, I$2),
    INDEX(정량지표상세!$C$2:$C$24, MATCH(1, (정량지표상세!$A$2:$A$24=$A10) * (정량지표상세!$B$2:$B$24=I$2), 0))),"")</f>
        <v/>
      </c>
      <c r="J10" s="84" t="str" cm="1">
        <f t="array" ref="J10">IFERROR(IF(ISNUMBER(INDEX(정량지표상세!$C$2:$C$24, MATCH(1, (정량지표상세!$A$2:$A$24=$A10) * (정량지표상세!$B$2:$B$24=J$2), 0))),
    SUMIFS(정량지표상세!$C$2:$C$24, 정량지표상세!$A$2:$A$24, $A10, 정량지표상세!$B$2:$B$24, J$2),
    INDEX(정량지표상세!$C$2:$C$24, MATCH(1, (정량지표상세!$A$2:$A$24=$A10) * (정량지표상세!$B$2:$B$24=J$2), 0))),"")</f>
        <v/>
      </c>
      <c r="K10" s="85" t="str">
        <f t="shared" si="0"/>
        <v/>
      </c>
      <c r="L10" s="85" t="str">
        <f t="shared" si="0"/>
        <v/>
      </c>
      <c r="M10" s="85" t="str">
        <f t="shared" si="0"/>
        <v/>
      </c>
    </row>
    <row r="11" spans="1:13">
      <c r="A11" s="89"/>
      <c r="B11" s="83"/>
      <c r="C11" s="83"/>
      <c r="D11" s="83"/>
      <c r="E11" s="83"/>
      <c r="F11" s="83"/>
      <c r="G11" s="83"/>
      <c r="H11" s="84" t="str" cm="1">
        <f t="array" ref="H11">IFERROR(IF(ISNUMBER(INDEX(정량지표상세!$C$2:$C$24, MATCH(1, (정량지표상세!$A$2:$A$24=$A11) * (정량지표상세!$B$2:$B$24=H$2), 0))),
    SUMIFS(정량지표상세!$C$2:$C$24, 정량지표상세!$A$2:$A$24, $A11, 정량지표상세!$B$2:$B$24, H$2),
    INDEX(정량지표상세!$C$2:$C$24, MATCH(1, (정량지표상세!$A$2:$A$24=$A11) * (정량지표상세!$B$2:$B$24=H$2), 0))),"")</f>
        <v/>
      </c>
      <c r="I11" s="84" t="str" cm="1">
        <f t="array" ref="I11">IFERROR(IF(ISNUMBER(INDEX(정량지표상세!$C$2:$C$24, MATCH(1, (정량지표상세!$A$2:$A$24=$A11) * (정량지표상세!$B$2:$B$24=I$2), 0))),
    SUMIFS(정량지표상세!$C$2:$C$24, 정량지표상세!$A$2:$A$24, $A11, 정량지표상세!$B$2:$B$24, I$2),
    INDEX(정량지표상세!$C$2:$C$24, MATCH(1, (정량지표상세!$A$2:$A$24=$A11) * (정량지표상세!$B$2:$B$24=I$2), 0))),"")</f>
        <v/>
      </c>
      <c r="J11" s="84" t="str" cm="1">
        <f t="array" ref="J11">IFERROR(IF(ISNUMBER(INDEX(정량지표상세!$C$2:$C$24, MATCH(1, (정량지표상세!$A$2:$A$24=$A11) * (정량지표상세!$B$2:$B$24=J$2), 0))),
    SUMIFS(정량지표상세!$C$2:$C$24, 정량지표상세!$A$2:$A$24, $A11, 정량지표상세!$B$2:$B$24, J$2),
    INDEX(정량지표상세!$C$2:$C$24, MATCH(1, (정량지표상세!$A$2:$A$24=$A11) * (정량지표상세!$B$2:$B$24=J$2), 0))),"")</f>
        <v/>
      </c>
      <c r="K11" s="85" t="str">
        <f t="shared" si="0"/>
        <v/>
      </c>
      <c r="L11" s="85" t="str">
        <f t="shared" si="0"/>
        <v/>
      </c>
      <c r="M11" s="85" t="str">
        <f t="shared" si="0"/>
        <v/>
      </c>
    </row>
    <row r="12" spans="1:13">
      <c r="A12" s="89"/>
      <c r="B12" s="83"/>
      <c r="C12" s="83"/>
      <c r="D12" s="83"/>
      <c r="E12" s="83"/>
      <c r="F12" s="83"/>
      <c r="G12" s="83"/>
      <c r="H12" s="84" t="str" cm="1">
        <f t="array" ref="H12">IFERROR(IF(ISNUMBER(INDEX(정량지표상세!$C$2:$C$24, MATCH(1, (정량지표상세!$A$2:$A$24=$A12) * (정량지표상세!$B$2:$B$24=H$2), 0))),
    SUMIFS(정량지표상세!$C$2:$C$24, 정량지표상세!$A$2:$A$24, $A12, 정량지표상세!$B$2:$B$24, H$2),
    INDEX(정량지표상세!$C$2:$C$24, MATCH(1, (정량지표상세!$A$2:$A$24=$A12) * (정량지표상세!$B$2:$B$24=H$2), 0))),"")</f>
        <v/>
      </c>
      <c r="I12" s="84" t="str" cm="1">
        <f t="array" ref="I12">IFERROR(IF(ISNUMBER(INDEX(정량지표상세!$C$2:$C$24, MATCH(1, (정량지표상세!$A$2:$A$24=$A12) * (정량지표상세!$B$2:$B$24=I$2), 0))),
    SUMIFS(정량지표상세!$C$2:$C$24, 정량지표상세!$A$2:$A$24, $A12, 정량지표상세!$B$2:$B$24, I$2),
    INDEX(정량지표상세!$C$2:$C$24, MATCH(1, (정량지표상세!$A$2:$A$24=$A12) * (정량지표상세!$B$2:$B$24=I$2), 0))),"")</f>
        <v/>
      </c>
      <c r="J12" s="84" t="str" cm="1">
        <f t="array" ref="J12">IFERROR(IF(ISNUMBER(INDEX(정량지표상세!$C$2:$C$24, MATCH(1, (정량지표상세!$A$2:$A$24=$A12) * (정량지표상세!$B$2:$B$24=J$2), 0))),
    SUMIFS(정량지표상세!$C$2:$C$24, 정량지표상세!$A$2:$A$24, $A12, 정량지표상세!$B$2:$B$24, J$2),
    INDEX(정량지표상세!$C$2:$C$24, MATCH(1, (정량지표상세!$A$2:$A$24=$A12) * (정량지표상세!$B$2:$B$24=J$2), 0))),"")</f>
        <v/>
      </c>
      <c r="K12" s="85" t="str">
        <f t="shared" si="0"/>
        <v/>
      </c>
      <c r="L12" s="85" t="str">
        <f t="shared" si="0"/>
        <v/>
      </c>
      <c r="M12" s="85" t="str">
        <f t="shared" si="0"/>
        <v/>
      </c>
    </row>
    <row r="13" spans="1:13">
      <c r="A13" s="89"/>
      <c r="B13" s="83"/>
      <c r="C13" s="83"/>
      <c r="D13" s="83"/>
      <c r="E13" s="83"/>
      <c r="F13" s="83"/>
      <c r="G13" s="83"/>
      <c r="H13" s="84" t="str" cm="1">
        <f t="array" ref="H13">IFERROR(IF(ISNUMBER(INDEX(정량지표상세!$C$2:$C$24, MATCH(1, (정량지표상세!$A$2:$A$24=$A13) * (정량지표상세!$B$2:$B$24=H$2), 0))),
    SUMIFS(정량지표상세!$C$2:$C$24, 정량지표상세!$A$2:$A$24, $A13, 정량지표상세!$B$2:$B$24, H$2),
    INDEX(정량지표상세!$C$2:$C$24, MATCH(1, (정량지표상세!$A$2:$A$24=$A13) * (정량지표상세!$B$2:$B$24=H$2), 0))),"")</f>
        <v/>
      </c>
      <c r="I13" s="84" t="str" cm="1">
        <f t="array" ref="I13">IFERROR(IF(ISNUMBER(INDEX(정량지표상세!$C$2:$C$24, MATCH(1, (정량지표상세!$A$2:$A$24=$A13) * (정량지표상세!$B$2:$B$24=I$2), 0))),
    SUMIFS(정량지표상세!$C$2:$C$24, 정량지표상세!$A$2:$A$24, $A13, 정량지표상세!$B$2:$B$24, I$2),
    INDEX(정량지표상세!$C$2:$C$24, MATCH(1, (정량지표상세!$A$2:$A$24=$A13) * (정량지표상세!$B$2:$B$24=I$2), 0))),"")</f>
        <v/>
      </c>
      <c r="J13" s="84" t="str" cm="1">
        <f t="array" ref="J13">IFERROR(IF(ISNUMBER(INDEX(정량지표상세!$C$2:$C$24, MATCH(1, (정량지표상세!$A$2:$A$24=$A13) * (정량지표상세!$B$2:$B$24=J$2), 0))),
    SUMIFS(정량지표상세!$C$2:$C$24, 정량지표상세!$A$2:$A$24, $A13, 정량지표상세!$B$2:$B$24, J$2),
    INDEX(정량지표상세!$C$2:$C$24, MATCH(1, (정량지표상세!$A$2:$A$24=$A13) * (정량지표상세!$B$2:$B$24=J$2), 0))),"")</f>
        <v/>
      </c>
      <c r="K13" s="85" t="str">
        <f t="shared" si="0"/>
        <v/>
      </c>
      <c r="L13" s="85" t="str">
        <f t="shared" si="0"/>
        <v/>
      </c>
      <c r="M13" s="85" t="str">
        <f t="shared" si="0"/>
        <v/>
      </c>
    </row>
    <row r="14" spans="1:13">
      <c r="A14" s="89"/>
      <c r="B14" s="83"/>
      <c r="C14" s="83"/>
      <c r="D14" s="83"/>
      <c r="E14" s="83"/>
      <c r="F14" s="83"/>
      <c r="G14" s="83"/>
      <c r="H14" s="84" t="str" cm="1">
        <f t="array" ref="H14">IFERROR(IF(ISNUMBER(INDEX(정량지표상세!$C$2:$C$24, MATCH(1, (정량지표상세!$A$2:$A$24=$A14) * (정량지표상세!$B$2:$B$24=H$2), 0))),
    SUMIFS(정량지표상세!$C$2:$C$24, 정량지표상세!$A$2:$A$24, $A14, 정량지표상세!$B$2:$B$24, H$2),
    INDEX(정량지표상세!$C$2:$C$24, MATCH(1, (정량지표상세!$A$2:$A$24=$A14) * (정량지표상세!$B$2:$B$24=H$2), 0))),"")</f>
        <v/>
      </c>
      <c r="I14" s="84" t="str" cm="1">
        <f t="array" ref="I14">IFERROR(IF(ISNUMBER(INDEX(정량지표상세!$C$2:$C$24, MATCH(1, (정량지표상세!$A$2:$A$24=$A14) * (정량지표상세!$B$2:$B$24=I$2), 0))),
    SUMIFS(정량지표상세!$C$2:$C$24, 정량지표상세!$A$2:$A$24, $A14, 정량지표상세!$B$2:$B$24, I$2),
    INDEX(정량지표상세!$C$2:$C$24, MATCH(1, (정량지표상세!$A$2:$A$24=$A14) * (정량지표상세!$B$2:$B$24=I$2), 0))),"")</f>
        <v/>
      </c>
      <c r="J14" s="84" t="str" cm="1">
        <f t="array" ref="J14">IFERROR(IF(ISNUMBER(INDEX(정량지표상세!$C$2:$C$24, MATCH(1, (정량지표상세!$A$2:$A$24=$A14) * (정량지표상세!$B$2:$B$24=J$2), 0))),
    SUMIFS(정량지표상세!$C$2:$C$24, 정량지표상세!$A$2:$A$24, $A14, 정량지표상세!$B$2:$B$24, J$2),
    INDEX(정량지표상세!$C$2:$C$24, MATCH(1, (정량지표상세!$A$2:$A$24=$A14) * (정량지표상세!$B$2:$B$24=J$2), 0))),"")</f>
        <v/>
      </c>
      <c r="K14" s="85"/>
      <c r="L14" s="85"/>
      <c r="M14" s="85"/>
    </row>
    <row r="15" spans="1:13">
      <c r="A15" s="89"/>
      <c r="B15" s="83"/>
      <c r="C15" s="83"/>
      <c r="D15" s="83"/>
      <c r="E15" s="83"/>
      <c r="F15" s="83"/>
      <c r="G15" s="83"/>
      <c r="H15" s="84" t="str" cm="1">
        <f t="array" ref="H15">IFERROR(IF(ISNUMBER(INDEX(정량지표상세!$C$2:$C$24, MATCH(1, (정량지표상세!$A$2:$A$24=$A15) * (정량지표상세!$B$2:$B$24=H$2), 0))),
    SUMIFS(정량지표상세!$C$2:$C$24, 정량지표상세!$A$2:$A$24, $A15, 정량지표상세!$B$2:$B$24, H$2),
    INDEX(정량지표상세!$C$2:$C$24, MATCH(1, (정량지표상세!$A$2:$A$24=$A15) * (정량지표상세!$B$2:$B$24=H$2), 0))),"")</f>
        <v/>
      </c>
      <c r="I15" s="84" t="str" cm="1">
        <f t="array" ref="I15">IFERROR(IF(ISNUMBER(INDEX(정량지표상세!$C$2:$C$24, MATCH(1, (정량지표상세!$A$2:$A$24=$A15) * (정량지표상세!$B$2:$B$24=I$2), 0))),
    SUMIFS(정량지표상세!$C$2:$C$24, 정량지표상세!$A$2:$A$24, $A15, 정량지표상세!$B$2:$B$24, I$2),
    INDEX(정량지표상세!$C$2:$C$24, MATCH(1, (정량지표상세!$A$2:$A$24=$A15) * (정량지표상세!$B$2:$B$24=I$2), 0))),"")</f>
        <v/>
      </c>
      <c r="J15" s="84" t="str" cm="1">
        <f t="array" ref="J15">IFERROR(IF(ISNUMBER(INDEX(정량지표상세!$C$2:$C$24, MATCH(1, (정량지표상세!$A$2:$A$24=$A15) * (정량지표상세!$B$2:$B$24=J$2), 0))),
    SUMIFS(정량지표상세!$C$2:$C$24, 정량지표상세!$A$2:$A$24, $A15, 정량지표상세!$B$2:$B$24, J$2),
    INDEX(정량지표상세!$C$2:$C$24, MATCH(1, (정량지표상세!$A$2:$A$24=$A15) * (정량지표상세!$B$2:$B$24=J$2), 0))),"")</f>
        <v/>
      </c>
      <c r="K15" s="85"/>
      <c r="L15" s="85"/>
      <c r="M15" s="85"/>
    </row>
    <row r="16" spans="1:13">
      <c r="A16" s="89"/>
      <c r="B16" s="83"/>
      <c r="C16" s="83"/>
      <c r="D16" s="83"/>
      <c r="E16" s="83"/>
      <c r="F16" s="83"/>
      <c r="G16" s="83"/>
      <c r="H16" s="84" t="str" cm="1">
        <f t="array" ref="H16">IFERROR(IF(ISNUMBER(INDEX(정량지표상세!$C$2:$C$24, MATCH(1, (정량지표상세!$A$2:$A$24=$A16) * (정량지표상세!$B$2:$B$24=H$2), 0))),
    SUMIFS(정량지표상세!$C$2:$C$24, 정량지표상세!$A$2:$A$24, $A16, 정량지표상세!$B$2:$B$24, H$2),
    INDEX(정량지표상세!$C$2:$C$24, MATCH(1, (정량지표상세!$A$2:$A$24=$A16) * (정량지표상세!$B$2:$B$24=H$2), 0))),"")</f>
        <v/>
      </c>
      <c r="I16" s="84" t="str" cm="1">
        <f t="array" ref="I16">IFERROR(IF(ISNUMBER(INDEX(정량지표상세!$C$2:$C$24, MATCH(1, (정량지표상세!$A$2:$A$24=$A16) * (정량지표상세!$B$2:$B$24=I$2), 0))),
    SUMIFS(정량지표상세!$C$2:$C$24, 정량지표상세!$A$2:$A$24, $A16, 정량지표상세!$B$2:$B$24, I$2),
    INDEX(정량지표상세!$C$2:$C$24, MATCH(1, (정량지표상세!$A$2:$A$24=$A16) * (정량지표상세!$B$2:$B$24=I$2), 0))),"")</f>
        <v/>
      </c>
      <c r="J16" s="84" t="str" cm="1">
        <f t="array" ref="J16">IFERROR(IF(ISNUMBER(INDEX(정량지표상세!$C$2:$C$24, MATCH(1, (정량지표상세!$A$2:$A$24=$A16) * (정량지표상세!$B$2:$B$24=J$2), 0))),
    SUMIFS(정량지표상세!$C$2:$C$24, 정량지표상세!$A$2:$A$24, $A16, 정량지표상세!$B$2:$B$24, J$2),
    INDEX(정량지표상세!$C$2:$C$24, MATCH(1, (정량지표상세!$A$2:$A$24=$A16) * (정량지표상세!$B$2:$B$24=J$2), 0))),"")</f>
        <v/>
      </c>
      <c r="K16" s="85"/>
      <c r="L16" s="85"/>
      <c r="M16" s="85"/>
    </row>
    <row r="17" spans="1:13">
      <c r="A17" s="89"/>
      <c r="B17" s="83"/>
      <c r="C17" s="83"/>
      <c r="D17" s="83"/>
      <c r="E17" s="83"/>
      <c r="F17" s="83"/>
      <c r="G17" s="83"/>
      <c r="H17" s="84" t="str" cm="1">
        <f t="array" ref="H17">IFERROR(IF(ISNUMBER(INDEX(정량지표상세!$C$2:$C$24, MATCH(1, (정량지표상세!$A$2:$A$24=$A17) * (정량지표상세!$B$2:$B$24=H$2), 0))),
    SUMIFS(정량지표상세!$C$2:$C$24, 정량지표상세!$A$2:$A$24, $A17, 정량지표상세!$B$2:$B$24, H$2),
    INDEX(정량지표상세!$C$2:$C$24, MATCH(1, (정량지표상세!$A$2:$A$24=$A17) * (정량지표상세!$B$2:$B$24=H$2), 0))),"")</f>
        <v/>
      </c>
      <c r="I17" s="84" t="str" cm="1">
        <f t="array" ref="I17">IFERROR(IF(ISNUMBER(INDEX(정량지표상세!$C$2:$C$24, MATCH(1, (정량지표상세!$A$2:$A$24=$A17) * (정량지표상세!$B$2:$B$24=I$2), 0))),
    SUMIFS(정량지표상세!$C$2:$C$24, 정량지표상세!$A$2:$A$24, $A17, 정량지표상세!$B$2:$B$24, I$2),
    INDEX(정량지표상세!$C$2:$C$24, MATCH(1, (정량지표상세!$A$2:$A$24=$A17) * (정량지표상세!$B$2:$B$24=I$2), 0))),"")</f>
        <v/>
      </c>
      <c r="J17" s="84" t="str" cm="1">
        <f t="array" ref="J17">IFERROR(IF(ISNUMBER(INDEX(정량지표상세!$C$2:$C$24, MATCH(1, (정량지표상세!$A$2:$A$24=$A17) * (정량지표상세!$B$2:$B$24=J$2), 0))),
    SUMIFS(정량지표상세!$C$2:$C$24, 정량지표상세!$A$2:$A$24, $A17, 정량지표상세!$B$2:$B$24, J$2),
    INDEX(정량지표상세!$C$2:$C$24, MATCH(1, (정량지표상세!$A$2:$A$24=$A17) * (정량지표상세!$B$2:$B$24=J$2), 0))),"")</f>
        <v/>
      </c>
      <c r="K17" s="85"/>
      <c r="L17" s="85"/>
      <c r="M17" s="85"/>
    </row>
    <row r="18" spans="1:13">
      <c r="A18" s="89"/>
      <c r="B18" s="83"/>
      <c r="C18" s="83"/>
      <c r="D18" s="83"/>
      <c r="E18" s="83"/>
      <c r="F18" s="83"/>
      <c r="G18" s="83"/>
      <c r="H18" s="84" t="str" cm="1">
        <f t="array" ref="H18">IFERROR(IF(ISNUMBER(INDEX(정량지표상세!$C$2:$C$24, MATCH(1, (정량지표상세!$A$2:$A$24=$A18) * (정량지표상세!$B$2:$B$24=H$2), 0))),
    SUMIFS(정량지표상세!$C$2:$C$24, 정량지표상세!$A$2:$A$24, $A18, 정량지표상세!$B$2:$B$24, H$2),
    INDEX(정량지표상세!$C$2:$C$24, MATCH(1, (정량지표상세!$A$2:$A$24=$A18) * (정량지표상세!$B$2:$B$24=H$2), 0))),"")</f>
        <v/>
      </c>
      <c r="I18" s="84" t="str" cm="1">
        <f t="array" ref="I18">IFERROR(IF(ISNUMBER(INDEX(정량지표상세!$C$2:$C$24, MATCH(1, (정량지표상세!$A$2:$A$24=$A18) * (정량지표상세!$B$2:$B$24=I$2), 0))),
    SUMIFS(정량지표상세!$C$2:$C$24, 정량지표상세!$A$2:$A$24, $A18, 정량지표상세!$B$2:$B$24, I$2),
    INDEX(정량지표상세!$C$2:$C$24, MATCH(1, (정량지표상세!$A$2:$A$24=$A18) * (정량지표상세!$B$2:$B$24=I$2), 0))),"")</f>
        <v/>
      </c>
      <c r="J18" s="84" t="str" cm="1">
        <f t="array" ref="J18">IFERROR(IF(ISNUMBER(INDEX(정량지표상세!$C$2:$C$24, MATCH(1, (정량지표상세!$A$2:$A$24=$A18) * (정량지표상세!$B$2:$B$24=J$2), 0))),
    SUMIFS(정량지표상세!$C$2:$C$24, 정량지표상세!$A$2:$A$24, $A18, 정량지표상세!$B$2:$B$24, J$2),
    INDEX(정량지표상세!$C$2:$C$24, MATCH(1, (정량지표상세!$A$2:$A$24=$A18) * (정량지표상세!$B$2:$B$24=J$2), 0))),"")</f>
        <v/>
      </c>
      <c r="K18" s="85"/>
      <c r="L18" s="85"/>
      <c r="M18" s="85"/>
    </row>
    <row r="19" spans="1:13">
      <c r="A19" s="89"/>
      <c r="B19" s="83"/>
      <c r="C19" s="83"/>
      <c r="D19" s="83"/>
      <c r="E19" s="83"/>
      <c r="F19" s="83"/>
      <c r="G19" s="83"/>
      <c r="H19" s="84" t="str" cm="1">
        <f t="array" ref="H19">IFERROR(IF(ISNUMBER(INDEX(정량지표상세!$C$2:$C$24, MATCH(1, (정량지표상세!$A$2:$A$24=$A19) * (정량지표상세!$B$2:$B$24=H$2), 0))),
    SUMIFS(정량지표상세!$C$2:$C$24, 정량지표상세!$A$2:$A$24, $A19, 정량지표상세!$B$2:$B$24, H$2),
    INDEX(정량지표상세!$C$2:$C$24, MATCH(1, (정량지표상세!$A$2:$A$24=$A19) * (정량지표상세!$B$2:$B$24=H$2), 0))),"")</f>
        <v/>
      </c>
      <c r="I19" s="84" t="str" cm="1">
        <f t="array" ref="I19">IFERROR(IF(ISNUMBER(INDEX(정량지표상세!$C$2:$C$24, MATCH(1, (정량지표상세!$A$2:$A$24=$A19) * (정량지표상세!$B$2:$B$24=I$2), 0))),
    SUMIFS(정량지표상세!$C$2:$C$24, 정량지표상세!$A$2:$A$24, $A19, 정량지표상세!$B$2:$B$24, I$2),
    INDEX(정량지표상세!$C$2:$C$24, MATCH(1, (정량지표상세!$A$2:$A$24=$A19) * (정량지표상세!$B$2:$B$24=I$2), 0))),"")</f>
        <v/>
      </c>
      <c r="J19" s="84" t="str" cm="1">
        <f t="array" ref="J19">IFERROR(IF(ISNUMBER(INDEX(정량지표상세!$C$2:$C$24, MATCH(1, (정량지표상세!$A$2:$A$24=$A19) * (정량지표상세!$B$2:$B$24=J$2), 0))),
    SUMIFS(정량지표상세!$C$2:$C$24, 정량지표상세!$A$2:$A$24, $A19, 정량지표상세!$B$2:$B$24, J$2),
    INDEX(정량지표상세!$C$2:$C$24, MATCH(1, (정량지표상세!$A$2:$A$24=$A19) * (정량지표상세!$B$2:$B$24=J$2), 0))),"")</f>
        <v/>
      </c>
      <c r="K19" s="85"/>
      <c r="L19" s="85"/>
      <c r="M19" s="85"/>
    </row>
    <row r="20" spans="1:13">
      <c r="A20" s="89"/>
      <c r="B20" s="83"/>
      <c r="C20" s="83"/>
      <c r="D20" s="83"/>
      <c r="E20" s="83"/>
      <c r="F20" s="83"/>
      <c r="G20" s="83"/>
      <c r="H20" s="84" t="str" cm="1">
        <f t="array" ref="H20">IFERROR(IF(ISNUMBER(INDEX(정량지표상세!$C$2:$C$24, MATCH(1, (정량지표상세!$A$2:$A$24=$A20) * (정량지표상세!$B$2:$B$24=H$2), 0))),
    SUMIFS(정량지표상세!$C$2:$C$24, 정량지표상세!$A$2:$A$24, $A20, 정량지표상세!$B$2:$B$24, H$2),
    INDEX(정량지표상세!$C$2:$C$24, MATCH(1, (정량지표상세!$A$2:$A$24=$A20) * (정량지표상세!$B$2:$B$24=H$2), 0))),"")</f>
        <v/>
      </c>
      <c r="I20" s="84" t="str" cm="1">
        <f t="array" ref="I20">IFERROR(IF(ISNUMBER(INDEX(정량지표상세!$C$2:$C$24, MATCH(1, (정량지표상세!$A$2:$A$24=$A20) * (정량지표상세!$B$2:$B$24=I$2), 0))),
    SUMIFS(정량지표상세!$C$2:$C$24, 정량지표상세!$A$2:$A$24, $A20, 정량지표상세!$B$2:$B$24, I$2),
    INDEX(정량지표상세!$C$2:$C$24, MATCH(1, (정량지표상세!$A$2:$A$24=$A20) * (정량지표상세!$B$2:$B$24=I$2), 0))),"")</f>
        <v/>
      </c>
      <c r="J20" s="84" t="str" cm="1">
        <f t="array" ref="J20">IFERROR(IF(ISNUMBER(INDEX(정량지표상세!$C$2:$C$24, MATCH(1, (정량지표상세!$A$2:$A$24=$A20) * (정량지표상세!$B$2:$B$24=J$2), 0))),
    SUMIFS(정량지표상세!$C$2:$C$24, 정량지표상세!$A$2:$A$24, $A20, 정량지표상세!$B$2:$B$24, J$2),
    INDEX(정량지표상세!$C$2:$C$24, MATCH(1, (정량지표상세!$A$2:$A$24=$A20) * (정량지표상세!$B$2:$B$24=J$2), 0))),"")</f>
        <v/>
      </c>
      <c r="K20" s="85"/>
      <c r="L20" s="85"/>
      <c r="M20" s="85"/>
    </row>
    <row r="21" spans="1:13">
      <c r="A21" s="89"/>
      <c r="B21" s="83"/>
      <c r="C21" s="83"/>
      <c r="D21" s="83"/>
      <c r="E21" s="83"/>
      <c r="F21" s="83"/>
      <c r="G21" s="83"/>
      <c r="H21" s="84" t="str" cm="1">
        <f t="array" ref="H21">IFERROR(IF(ISNUMBER(INDEX(정량지표상세!$C$2:$C$24, MATCH(1, (정량지표상세!$A$2:$A$24=$A21) * (정량지표상세!$B$2:$B$24=H$2), 0))),
    SUMIFS(정량지표상세!$C$2:$C$24, 정량지표상세!$A$2:$A$24, $A21, 정량지표상세!$B$2:$B$24, H$2),
    INDEX(정량지표상세!$C$2:$C$24, MATCH(1, (정량지표상세!$A$2:$A$24=$A21) * (정량지표상세!$B$2:$B$24=H$2), 0))),"")</f>
        <v/>
      </c>
      <c r="I21" s="84" t="str" cm="1">
        <f t="array" ref="I21">IFERROR(IF(ISNUMBER(INDEX(정량지표상세!$C$2:$C$24, MATCH(1, (정량지표상세!$A$2:$A$24=$A21) * (정량지표상세!$B$2:$B$24=I$2), 0))),
    SUMIFS(정량지표상세!$C$2:$C$24, 정량지표상세!$A$2:$A$24, $A21, 정량지표상세!$B$2:$B$24, I$2),
    INDEX(정량지표상세!$C$2:$C$24, MATCH(1, (정량지표상세!$A$2:$A$24=$A21) * (정량지표상세!$B$2:$B$24=I$2), 0))),"")</f>
        <v/>
      </c>
      <c r="J21" s="84" t="str" cm="1">
        <f t="array" ref="J21">IFERROR(IF(ISNUMBER(INDEX(정량지표상세!$C$2:$C$24, MATCH(1, (정량지표상세!$A$2:$A$24=$A21) * (정량지표상세!$B$2:$B$24=J$2), 0))),
    SUMIFS(정량지표상세!$C$2:$C$24, 정량지표상세!$A$2:$A$24, $A21, 정량지표상세!$B$2:$B$24, J$2),
    INDEX(정량지표상세!$C$2:$C$24, MATCH(1, (정량지표상세!$A$2:$A$24=$A21) * (정량지표상세!$B$2:$B$24=J$2), 0))),"")</f>
        <v/>
      </c>
      <c r="K21" s="85" t="str">
        <f t="shared" si="0"/>
        <v/>
      </c>
      <c r="L21" s="85" t="str">
        <f t="shared" si="0"/>
        <v/>
      </c>
      <c r="M21" s="85" t="str">
        <f t="shared" si="0"/>
        <v/>
      </c>
    </row>
    <row r="22" spans="1:13">
      <c r="A22" s="89"/>
      <c r="B22" s="83"/>
      <c r="C22" s="83"/>
      <c r="D22" s="83"/>
      <c r="E22" s="83"/>
      <c r="F22" s="83"/>
      <c r="G22" s="83"/>
      <c r="H22" s="84" t="str" cm="1">
        <f t="array" ref="H22">IFERROR(IF(ISNUMBER(INDEX(정량지표상세!$C$2:$C$24, MATCH(1, (정량지표상세!$A$2:$A$24=$A22) * (정량지표상세!$B$2:$B$24=H$2), 0))),
    SUMIFS(정량지표상세!$C$2:$C$24, 정량지표상세!$A$2:$A$24, $A22, 정량지표상세!$B$2:$B$24, H$2),
    INDEX(정량지표상세!$C$2:$C$24, MATCH(1, (정량지표상세!$A$2:$A$24=$A22) * (정량지표상세!$B$2:$B$24=H$2), 0))),"")</f>
        <v/>
      </c>
      <c r="I22" s="84" t="str" cm="1">
        <f t="array" ref="I22">IFERROR(IF(ISNUMBER(INDEX(정량지표상세!$C$2:$C$24, MATCH(1, (정량지표상세!$A$2:$A$24=$A22) * (정량지표상세!$B$2:$B$24=I$2), 0))),
    SUMIFS(정량지표상세!$C$2:$C$24, 정량지표상세!$A$2:$A$24, $A22, 정량지표상세!$B$2:$B$24, I$2),
    INDEX(정량지표상세!$C$2:$C$24, MATCH(1, (정량지표상세!$A$2:$A$24=$A22) * (정량지표상세!$B$2:$B$24=I$2), 0))),"")</f>
        <v/>
      </c>
      <c r="J22" s="84" t="str" cm="1">
        <f t="array" ref="J22">IFERROR(IF(ISNUMBER(INDEX(정량지표상세!$C$2:$C$24, MATCH(1, (정량지표상세!$A$2:$A$24=$A22) * (정량지표상세!$B$2:$B$24=J$2), 0))),
    SUMIFS(정량지표상세!$C$2:$C$24, 정량지표상세!$A$2:$A$24, $A22, 정량지표상세!$B$2:$B$24, J$2),
    INDEX(정량지표상세!$C$2:$C$24, MATCH(1, (정량지표상세!$A$2:$A$24=$A22) * (정량지표상세!$B$2:$B$24=J$2), 0))),"")</f>
        <v/>
      </c>
      <c r="K22" s="85" t="str">
        <f t="shared" si="0"/>
        <v/>
      </c>
      <c r="L22" s="85" t="str">
        <f t="shared" si="0"/>
        <v/>
      </c>
      <c r="M22" s="85" t="str">
        <f t="shared" si="0"/>
        <v/>
      </c>
    </row>
    <row r="23" spans="1:13">
      <c r="A23" s="89"/>
      <c r="B23" s="83"/>
      <c r="C23" s="83"/>
      <c r="D23" s="83"/>
      <c r="E23" s="83"/>
      <c r="F23" s="83"/>
      <c r="G23" s="83"/>
      <c r="H23" s="84" t="str" cm="1">
        <f t="array" ref="H23">IFERROR(IF(ISNUMBER(INDEX(정량지표상세!$C$2:$C$24, MATCH(1, (정량지표상세!$A$2:$A$24=$A23) * (정량지표상세!$B$2:$B$24=H$2), 0))),
    SUMIFS(정량지표상세!$C$2:$C$24, 정량지표상세!$A$2:$A$24, $A23, 정량지표상세!$B$2:$B$24, H$2),
    INDEX(정량지표상세!$C$2:$C$24, MATCH(1, (정량지표상세!$A$2:$A$24=$A23) * (정량지표상세!$B$2:$B$24=H$2), 0))),"")</f>
        <v/>
      </c>
      <c r="I23" s="84" t="str" cm="1">
        <f t="array" ref="I23">IFERROR(IF(ISNUMBER(INDEX(정량지표상세!$C$2:$C$24, MATCH(1, (정량지표상세!$A$2:$A$24=$A23) * (정량지표상세!$B$2:$B$24=I$2), 0))),
    SUMIFS(정량지표상세!$C$2:$C$24, 정량지표상세!$A$2:$A$24, $A23, 정량지표상세!$B$2:$B$24, I$2),
    INDEX(정량지표상세!$C$2:$C$24, MATCH(1, (정량지표상세!$A$2:$A$24=$A23) * (정량지표상세!$B$2:$B$24=I$2), 0))),"")</f>
        <v/>
      </c>
      <c r="J23" s="84" t="str" cm="1">
        <f t="array" ref="J23">IFERROR(IF(ISNUMBER(INDEX(정량지표상세!$C$2:$C$24, MATCH(1, (정량지표상세!$A$2:$A$24=$A23) * (정량지표상세!$B$2:$B$24=J$2), 0))),
    SUMIFS(정량지표상세!$C$2:$C$24, 정량지표상세!$A$2:$A$24, $A23, 정량지표상세!$B$2:$B$24, J$2),
    INDEX(정량지표상세!$C$2:$C$24, MATCH(1, (정량지표상세!$A$2:$A$24=$A23) * (정량지표상세!$B$2:$B$24=J$2), 0))),"")</f>
        <v/>
      </c>
      <c r="K23" s="85"/>
      <c r="L23" s="85"/>
      <c r="M23" s="85"/>
    </row>
    <row r="24" spans="1:13">
      <c r="A24" s="89"/>
      <c r="B24" s="83"/>
      <c r="C24" s="83"/>
      <c r="D24" s="83"/>
      <c r="E24" s="83"/>
      <c r="F24" s="83"/>
      <c r="G24" s="83"/>
      <c r="H24" s="84" t="str" cm="1">
        <f t="array" ref="H24">IFERROR(IF(ISNUMBER(INDEX(정량지표상세!$C$2:$C$24, MATCH(1, (정량지표상세!$A$2:$A$24=$A24) * (정량지표상세!$B$2:$B$24=H$2), 0))),
    SUMIFS(정량지표상세!$C$2:$C$24, 정량지표상세!$A$2:$A$24, $A24, 정량지표상세!$B$2:$B$24, H$2),
    INDEX(정량지표상세!$C$2:$C$24, MATCH(1, (정량지표상세!$A$2:$A$24=$A24) * (정량지표상세!$B$2:$B$24=H$2), 0))),"")</f>
        <v/>
      </c>
      <c r="I24" s="84" t="str" cm="1">
        <f t="array" ref="I24">IFERROR(IF(ISNUMBER(INDEX(정량지표상세!$C$2:$C$24, MATCH(1, (정량지표상세!$A$2:$A$24=$A24) * (정량지표상세!$B$2:$B$24=I$2), 0))),
    SUMIFS(정량지표상세!$C$2:$C$24, 정량지표상세!$A$2:$A$24, $A24, 정량지표상세!$B$2:$B$24, I$2),
    INDEX(정량지표상세!$C$2:$C$24, MATCH(1, (정량지표상세!$A$2:$A$24=$A24) * (정량지표상세!$B$2:$B$24=I$2), 0))),"")</f>
        <v/>
      </c>
      <c r="J24" s="84" t="str" cm="1">
        <f t="array" ref="J24">IFERROR(IF(ISNUMBER(INDEX(정량지표상세!$C$2:$C$24, MATCH(1, (정량지표상세!$A$2:$A$24=$A24) * (정량지표상세!$B$2:$B$24=J$2), 0))),
    SUMIFS(정량지표상세!$C$2:$C$24, 정량지표상세!$A$2:$A$24, $A24, 정량지표상세!$B$2:$B$24, J$2),
    INDEX(정량지표상세!$C$2:$C$24, MATCH(1, (정량지표상세!$A$2:$A$24=$A24) * (정량지표상세!$B$2:$B$24=J$2), 0))),"")</f>
        <v/>
      </c>
      <c r="K24" s="85"/>
      <c r="L24" s="85"/>
      <c r="M24" s="85"/>
    </row>
    <row r="25" spans="1:13">
      <c r="A25" s="89"/>
      <c r="B25" s="83"/>
      <c r="C25" s="83"/>
      <c r="D25" s="83"/>
      <c r="E25" s="83"/>
      <c r="F25" s="83"/>
      <c r="G25" s="83"/>
      <c r="H25" s="84" t="str" cm="1">
        <f t="array" ref="H25">IFERROR(IF(ISNUMBER(INDEX(정량지표상세!$C$2:$C$24, MATCH(1, (정량지표상세!$A$2:$A$24=$A25) * (정량지표상세!$B$2:$B$24=H$2), 0))),
    SUMIFS(정량지표상세!$C$2:$C$24, 정량지표상세!$A$2:$A$24, $A25, 정량지표상세!$B$2:$B$24, H$2),
    INDEX(정량지표상세!$C$2:$C$24, MATCH(1, (정량지표상세!$A$2:$A$24=$A25) * (정량지표상세!$B$2:$B$24=H$2), 0))),"")</f>
        <v/>
      </c>
      <c r="I25" s="84" t="str" cm="1">
        <f t="array" ref="I25">IFERROR(IF(ISNUMBER(INDEX(정량지표상세!$C$2:$C$24, MATCH(1, (정량지표상세!$A$2:$A$24=$A25) * (정량지표상세!$B$2:$B$24=I$2), 0))),
    SUMIFS(정량지표상세!$C$2:$C$24, 정량지표상세!$A$2:$A$24, $A25, 정량지표상세!$B$2:$B$24, I$2),
    INDEX(정량지표상세!$C$2:$C$24, MATCH(1, (정량지표상세!$A$2:$A$24=$A25) * (정량지표상세!$B$2:$B$24=I$2), 0))),"")</f>
        <v/>
      </c>
      <c r="J25" s="84" t="str" cm="1">
        <f t="array" ref="J25">IFERROR(IF(ISNUMBER(INDEX(정량지표상세!$C$2:$C$24, MATCH(1, (정량지표상세!$A$2:$A$24=$A25) * (정량지표상세!$B$2:$B$24=J$2), 0))),
    SUMIFS(정량지표상세!$C$2:$C$24, 정량지표상세!$A$2:$A$24, $A25, 정량지표상세!$B$2:$B$24, J$2),
    INDEX(정량지표상세!$C$2:$C$24, MATCH(1, (정량지표상세!$A$2:$A$24=$A25) * (정량지표상세!$B$2:$B$24=J$2), 0))),"")</f>
        <v/>
      </c>
      <c r="K25" s="85"/>
      <c r="L25" s="85"/>
      <c r="M25" s="85"/>
    </row>
    <row r="26" spans="1:13">
      <c r="A26" s="89"/>
      <c r="B26" s="83"/>
      <c r="C26" s="83"/>
      <c r="D26" s="83"/>
      <c r="E26" s="83"/>
      <c r="F26" s="83"/>
      <c r="G26" s="83"/>
      <c r="H26" s="84" t="str" cm="1">
        <f t="array" ref="H26">IFERROR(IF(ISNUMBER(INDEX(정량지표상세!$C$2:$C$24, MATCH(1, (정량지표상세!$A$2:$A$24=$A26) * (정량지표상세!$B$2:$B$24=H$2), 0))),
    SUMIFS(정량지표상세!$C$2:$C$24, 정량지표상세!$A$2:$A$24, $A26, 정량지표상세!$B$2:$B$24, H$2),
    INDEX(정량지표상세!$C$2:$C$24, MATCH(1, (정량지표상세!$A$2:$A$24=$A26) * (정량지표상세!$B$2:$B$24=H$2), 0))),"")</f>
        <v/>
      </c>
      <c r="I26" s="84" t="str" cm="1">
        <f t="array" ref="I26">IFERROR(IF(ISNUMBER(INDEX(정량지표상세!$C$2:$C$24, MATCH(1, (정량지표상세!$A$2:$A$24=$A26) * (정량지표상세!$B$2:$B$24=I$2), 0))),
    SUMIFS(정량지표상세!$C$2:$C$24, 정량지표상세!$A$2:$A$24, $A26, 정량지표상세!$B$2:$B$24, I$2),
    INDEX(정량지표상세!$C$2:$C$24, MATCH(1, (정량지표상세!$A$2:$A$24=$A26) * (정량지표상세!$B$2:$B$24=I$2), 0))),"")</f>
        <v/>
      </c>
      <c r="J26" s="84" t="str" cm="1">
        <f t="array" ref="J26">IFERROR(IF(ISNUMBER(INDEX(정량지표상세!$C$2:$C$24, MATCH(1, (정량지표상세!$A$2:$A$24=$A26) * (정량지표상세!$B$2:$B$24=J$2), 0))),
    SUMIFS(정량지표상세!$C$2:$C$24, 정량지표상세!$A$2:$A$24, $A26, 정량지표상세!$B$2:$B$24, J$2),
    INDEX(정량지표상세!$C$2:$C$24, MATCH(1, (정량지표상세!$A$2:$A$24=$A26) * (정량지표상세!$B$2:$B$24=J$2), 0))),"")</f>
        <v/>
      </c>
      <c r="K26" s="85"/>
      <c r="L26" s="85"/>
      <c r="M26" s="85"/>
    </row>
    <row r="27" spans="1:13">
      <c r="A27" s="89"/>
      <c r="B27" s="83"/>
      <c r="C27" s="83"/>
      <c r="D27" s="83"/>
      <c r="E27" s="83"/>
      <c r="F27" s="83"/>
      <c r="G27" s="83"/>
      <c r="H27" s="84" t="str" cm="1">
        <f t="array" ref="H27">IFERROR(IF(ISNUMBER(INDEX(정량지표상세!$C$2:$C$24, MATCH(1, (정량지표상세!$A$2:$A$24=$A27) * (정량지표상세!$B$2:$B$24=H$2), 0))),
    SUMIFS(정량지표상세!$C$2:$C$24, 정량지표상세!$A$2:$A$24, $A27, 정량지표상세!$B$2:$B$24, H$2),
    INDEX(정량지표상세!$C$2:$C$24, MATCH(1, (정량지표상세!$A$2:$A$24=$A27) * (정량지표상세!$B$2:$B$24=H$2), 0))),"")</f>
        <v/>
      </c>
      <c r="I27" s="84" t="str" cm="1">
        <f t="array" ref="I27">IFERROR(IF(ISNUMBER(INDEX(정량지표상세!$C$2:$C$24, MATCH(1, (정량지표상세!$A$2:$A$24=$A27) * (정량지표상세!$B$2:$B$24=I$2), 0))),
    SUMIFS(정량지표상세!$C$2:$C$24, 정량지표상세!$A$2:$A$24, $A27, 정량지표상세!$B$2:$B$24, I$2),
    INDEX(정량지표상세!$C$2:$C$24, MATCH(1, (정량지표상세!$A$2:$A$24=$A27) * (정량지표상세!$B$2:$B$24=I$2), 0))),"")</f>
        <v/>
      </c>
      <c r="J27" s="84" t="str" cm="1">
        <f t="array" ref="J27">IFERROR(IF(ISNUMBER(INDEX(정량지표상세!$C$2:$C$24, MATCH(1, (정량지표상세!$A$2:$A$24=$A27) * (정량지표상세!$B$2:$B$24=J$2), 0))),
    SUMIFS(정량지표상세!$C$2:$C$24, 정량지표상세!$A$2:$A$24, $A27, 정량지표상세!$B$2:$B$24, J$2),
    INDEX(정량지표상세!$C$2:$C$24, MATCH(1, (정량지표상세!$A$2:$A$24=$A27) * (정량지표상세!$B$2:$B$24=J$2), 0))),"")</f>
        <v/>
      </c>
      <c r="K27" s="85" t="str">
        <f t="shared" si="0"/>
        <v/>
      </c>
      <c r="L27" s="85" t="str">
        <f t="shared" si="0"/>
        <v/>
      </c>
      <c r="M27" s="85" t="str">
        <f t="shared" si="0"/>
        <v/>
      </c>
    </row>
    <row r="28" spans="1:13">
      <c r="A28" s="89"/>
      <c r="B28" s="83"/>
      <c r="C28" s="83"/>
      <c r="D28" s="83"/>
      <c r="E28" s="83"/>
      <c r="F28" s="83"/>
      <c r="G28" s="83"/>
      <c r="H28" s="84" t="str" cm="1">
        <f t="array" ref="H28">IFERROR(IF(ISNUMBER(INDEX(정량지표상세!$C$2:$C$24, MATCH(1, (정량지표상세!$A$2:$A$24=$A28) * (정량지표상세!$B$2:$B$24=H$2), 0))),
    SUMIFS(정량지표상세!$C$2:$C$24, 정량지표상세!$A$2:$A$24, $A28, 정량지표상세!$B$2:$B$24, H$2),
    INDEX(정량지표상세!$C$2:$C$24, MATCH(1, (정량지표상세!$A$2:$A$24=$A28) * (정량지표상세!$B$2:$B$24=H$2), 0))),"")</f>
        <v/>
      </c>
      <c r="I28" s="84" t="str" cm="1">
        <f t="array" ref="I28">IFERROR(IF(ISNUMBER(INDEX(정량지표상세!$C$2:$C$24, MATCH(1, (정량지표상세!$A$2:$A$24=$A28) * (정량지표상세!$B$2:$B$24=I$2), 0))),
    SUMIFS(정량지표상세!$C$2:$C$24, 정량지표상세!$A$2:$A$24, $A28, 정량지표상세!$B$2:$B$24, I$2),
    INDEX(정량지표상세!$C$2:$C$24, MATCH(1, (정량지표상세!$A$2:$A$24=$A28) * (정량지표상세!$B$2:$B$24=I$2), 0))),"")</f>
        <v/>
      </c>
      <c r="J28" s="84" t="str" cm="1">
        <f t="array" ref="J28">IFERROR(IF(ISNUMBER(INDEX(정량지표상세!$C$2:$C$24, MATCH(1, (정량지표상세!$A$2:$A$24=$A28) * (정량지표상세!$B$2:$B$24=J$2), 0))),
    SUMIFS(정량지표상세!$C$2:$C$24, 정량지표상세!$A$2:$A$24, $A28, 정량지표상세!$B$2:$B$24, J$2),
    INDEX(정량지표상세!$C$2:$C$24, MATCH(1, (정량지표상세!$A$2:$A$24=$A28) * (정량지표상세!$B$2:$B$24=J$2), 0))),"")</f>
        <v/>
      </c>
      <c r="K28" s="85" t="str">
        <f t="shared" si="0"/>
        <v/>
      </c>
      <c r="L28" s="85" t="str">
        <f t="shared" si="0"/>
        <v/>
      </c>
      <c r="M28" s="85" t="str">
        <f t="shared" si="0"/>
        <v/>
      </c>
    </row>
    <row r="29" spans="1:13">
      <c r="A29" s="89"/>
      <c r="B29" s="83"/>
      <c r="C29" s="83"/>
      <c r="D29" s="83"/>
      <c r="E29" s="83"/>
      <c r="F29" s="83"/>
      <c r="G29" s="83"/>
      <c r="H29" s="84" t="str" cm="1">
        <f t="array" ref="H29">IFERROR(IF(ISNUMBER(INDEX(정량지표상세!$C$2:$C$24, MATCH(1, (정량지표상세!$A$2:$A$24=$A29) * (정량지표상세!$B$2:$B$24=H$2), 0))),
    SUMIFS(정량지표상세!$C$2:$C$24, 정량지표상세!$A$2:$A$24, $A29, 정량지표상세!$B$2:$B$24, H$2),
    INDEX(정량지표상세!$C$2:$C$24, MATCH(1, (정량지표상세!$A$2:$A$24=$A29) * (정량지표상세!$B$2:$B$24=H$2), 0))),"")</f>
        <v/>
      </c>
      <c r="I29" s="84" t="str" cm="1">
        <f t="array" ref="I29">IFERROR(IF(ISNUMBER(INDEX(정량지표상세!$C$2:$C$24, MATCH(1, (정량지표상세!$A$2:$A$24=$A29) * (정량지표상세!$B$2:$B$24=I$2), 0))),
    SUMIFS(정량지표상세!$C$2:$C$24, 정량지표상세!$A$2:$A$24, $A29, 정량지표상세!$B$2:$B$24, I$2),
    INDEX(정량지표상세!$C$2:$C$24, MATCH(1, (정량지표상세!$A$2:$A$24=$A29) * (정량지표상세!$B$2:$B$24=I$2), 0))),"")</f>
        <v/>
      </c>
      <c r="J29" s="84" t="str" cm="1">
        <f t="array" ref="J29">IFERROR(IF(ISNUMBER(INDEX(정량지표상세!$C$2:$C$24, MATCH(1, (정량지표상세!$A$2:$A$24=$A29) * (정량지표상세!$B$2:$B$24=J$2), 0))),
    SUMIFS(정량지표상세!$C$2:$C$24, 정량지표상세!$A$2:$A$24, $A29, 정량지표상세!$B$2:$B$24, J$2),
    INDEX(정량지표상세!$C$2:$C$24, MATCH(1, (정량지표상세!$A$2:$A$24=$A29) * (정량지표상세!$B$2:$B$24=J$2), 0))),"")</f>
        <v/>
      </c>
      <c r="K29" s="85" t="str">
        <f t="shared" si="0"/>
        <v/>
      </c>
      <c r="L29" s="85" t="str">
        <f t="shared" si="0"/>
        <v/>
      </c>
      <c r="M29" s="85" t="str">
        <f t="shared" si="0"/>
        <v/>
      </c>
    </row>
    <row r="30" spans="1:13">
      <c r="A30" s="89"/>
      <c r="B30" s="83"/>
      <c r="C30" s="83"/>
      <c r="D30" s="83"/>
      <c r="E30" s="83"/>
      <c r="F30" s="83"/>
      <c r="G30" s="83"/>
      <c r="H30" s="84" t="str" cm="1">
        <f t="array" ref="H30">IFERROR(IF(ISNUMBER(INDEX(정량지표상세!$C$2:$C$24, MATCH(1, (정량지표상세!$A$2:$A$24=$A30) * (정량지표상세!$B$2:$B$24=H$2), 0))),
    SUMIFS(정량지표상세!$C$2:$C$24, 정량지표상세!$A$2:$A$24, $A30, 정량지표상세!$B$2:$B$24, H$2),
    INDEX(정량지표상세!$C$2:$C$24, MATCH(1, (정량지표상세!$A$2:$A$24=$A30) * (정량지표상세!$B$2:$B$24=H$2), 0))),"")</f>
        <v/>
      </c>
      <c r="I30" s="84" t="str" cm="1">
        <f t="array" ref="I30">IFERROR(IF(ISNUMBER(INDEX(정량지표상세!$C$2:$C$24, MATCH(1, (정량지표상세!$A$2:$A$24=$A30) * (정량지표상세!$B$2:$B$24=I$2), 0))),
    SUMIFS(정량지표상세!$C$2:$C$24, 정량지표상세!$A$2:$A$24, $A30, 정량지표상세!$B$2:$B$24, I$2),
    INDEX(정량지표상세!$C$2:$C$24, MATCH(1, (정량지표상세!$A$2:$A$24=$A30) * (정량지표상세!$B$2:$B$24=I$2), 0))),"")</f>
        <v/>
      </c>
      <c r="J30" s="84" t="str" cm="1">
        <f t="array" ref="J30">IFERROR(IF(ISNUMBER(INDEX(정량지표상세!$C$2:$C$24, MATCH(1, (정량지표상세!$A$2:$A$24=$A30) * (정량지표상세!$B$2:$B$24=J$2), 0))),
    SUMIFS(정량지표상세!$C$2:$C$24, 정량지표상세!$A$2:$A$24, $A30, 정량지표상세!$B$2:$B$24, J$2),
    INDEX(정량지표상세!$C$2:$C$24, MATCH(1, (정량지표상세!$A$2:$A$24=$A30) * (정량지표상세!$B$2:$B$24=J$2), 0))),"")</f>
        <v/>
      </c>
      <c r="K30" s="85" t="str">
        <f t="shared" si="0"/>
        <v/>
      </c>
      <c r="L30" s="85" t="str">
        <f t="shared" si="0"/>
        <v/>
      </c>
      <c r="M30" s="85" t="str">
        <f t="shared" si="0"/>
        <v/>
      </c>
    </row>
    <row r="31" spans="1:13">
      <c r="A31" s="89" t="s">
        <v>40</v>
      </c>
      <c r="B31" s="83"/>
      <c r="C31" s="83"/>
      <c r="D31" s="83">
        <f>SUM(D3:D30)</f>
        <v>0</v>
      </c>
      <c r="E31" s="83"/>
      <c r="F31" s="83"/>
      <c r="G31" s="83"/>
      <c r="H31" s="84" t="str" cm="1">
        <f t="array" ref="H31">IFERROR(IF(ISNUMBER(INDEX([1]정량지표상세!$C$2:$C$24, MATCH(1, ([1]정량지표상세!$A$2:$A$24=$A31) * ([1]정량지표상세!$B$2:$B$24=H$2), 0))),
    SUMIFS([1]정량지표상세!$C$2:$C$24, [1]정량지표상세!$A$2:$A$24, $A31, [1]정량지표상세!$B$2:$B$24, H$2),
    INDEX([1]정량지표상세!$C$2:$C$24, MATCH(1, ([1]정량지표상세!$A$2:$A$24=$A31) * ([1]정량지표상세!$B$2:$B$24=H$2), 0))),"")</f>
        <v/>
      </c>
      <c r="I31" s="84" t="str" cm="1">
        <f t="array" ref="I31">IFERROR(IF(ISNUMBER(INDEX([1]정량지표상세!$C$2:$C$24, MATCH(1, ([1]정량지표상세!$A$2:$A$24=$A31) * ([1]정량지표상세!$B$2:$B$24=I$2), 0))),
    SUMIFS([1]정량지표상세!$C$2:$C$24, [1]정량지표상세!$A$2:$A$24, $A31, [1]정량지표상세!$B$2:$B$24, I$2),
    INDEX([1]정량지표상세!$C$2:$C$24, MATCH(1, ([1]정량지표상세!$A$2:$A$24=$A31) * ([1]정량지표상세!$B$2:$B$24=I$2), 0))),"")</f>
        <v/>
      </c>
      <c r="J31" s="84" t="str" cm="1">
        <f t="array" ref="J31">IFERROR(IF(ISNUMBER(INDEX([1]정량지표상세!$C$2:$C$24, MATCH(1, ([1]정량지표상세!$A$2:$A$24=$A31) * ([1]정량지표상세!$B$2:$B$24=J$2), 0))),
    SUMIFS([1]정량지표상세!$C$2:$C$24, [1]정량지표상세!$A$2:$A$24, $A31, [1]정량지표상세!$B$2:$B$24, J$2),
    INDEX([1]정량지표상세!$C$2:$C$24, MATCH(1, ([1]정량지표상세!$A$2:$A$24=$A31) * ([1]정량지표상세!$B$2:$B$24=J$2), 0))),"")</f>
        <v/>
      </c>
      <c r="K31" s="85" t="str">
        <f t="shared" si="0"/>
        <v/>
      </c>
      <c r="L31" s="85" t="str">
        <f t="shared" si="0"/>
        <v/>
      </c>
      <c r="M31" s="85" t="str">
        <f t="shared" si="0"/>
        <v/>
      </c>
    </row>
  </sheetData>
  <mergeCells count="7">
    <mergeCell ref="A1:A2"/>
    <mergeCell ref="B1:B2"/>
    <mergeCell ref="C1:C2"/>
    <mergeCell ref="D1:D2"/>
    <mergeCell ref="K1:M1"/>
    <mergeCell ref="H1:J1"/>
    <mergeCell ref="E1:G1"/>
  </mergeCells>
  <phoneticPr fontId="3" type="noConversion"/>
  <conditionalFormatting sqref="K3:M31">
    <cfRule type="cellIs" dxfId="6" priority="1" operator="equal">
      <formula>"달성"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18F7-66B6-4E76-8669-E8C6B5F0079F}">
  <dimension ref="A1:D51"/>
  <sheetViews>
    <sheetView topLeftCell="A4" zoomScaleNormal="100" workbookViewId="0">
      <selection activeCell="A16" sqref="A16"/>
    </sheetView>
  </sheetViews>
  <sheetFormatPr defaultRowHeight="10.8"/>
  <cols>
    <col min="1" max="1" width="54.59765625" style="93" bestFit="1" customWidth="1"/>
    <col min="2" max="2" width="11.296875" style="88" bestFit="1" customWidth="1"/>
    <col min="3" max="3" width="9.09765625" style="88" bestFit="1" customWidth="1"/>
    <col min="4" max="4" width="8.5" style="88" bestFit="1" customWidth="1"/>
    <col min="5" max="16384" width="8.796875" style="88"/>
  </cols>
  <sheetData>
    <row r="1" spans="1:4" ht="19.95" customHeight="1">
      <c r="A1" s="87" t="s">
        <v>48</v>
      </c>
      <c r="B1" s="87" t="s">
        <v>41</v>
      </c>
      <c r="C1" s="87" t="s">
        <v>42</v>
      </c>
      <c r="D1" s="87" t="s">
        <v>38</v>
      </c>
    </row>
    <row r="2" spans="1:4" ht="19.95" customHeight="1">
      <c r="A2" s="92"/>
      <c r="B2" s="86"/>
      <c r="C2" s="86"/>
      <c r="D2" s="86"/>
    </row>
    <row r="3" spans="1:4" ht="19.95" customHeight="1">
      <c r="A3" s="92"/>
      <c r="B3" s="86"/>
      <c r="C3" s="86"/>
      <c r="D3" s="86"/>
    </row>
    <row r="4" spans="1:4" ht="19.95" customHeight="1">
      <c r="A4" s="92"/>
      <c r="B4" s="86"/>
      <c r="C4" s="86"/>
      <c r="D4" s="86"/>
    </row>
    <row r="5" spans="1:4" ht="19.95" customHeight="1">
      <c r="A5" s="92"/>
      <c r="B5" s="86"/>
      <c r="C5" s="86"/>
      <c r="D5" s="86"/>
    </row>
    <row r="6" spans="1:4" ht="19.95" customHeight="1">
      <c r="A6" s="92"/>
      <c r="B6" s="86"/>
      <c r="C6" s="86"/>
      <c r="D6" s="86"/>
    </row>
    <row r="7" spans="1:4" ht="19.95" customHeight="1">
      <c r="A7" s="92"/>
      <c r="B7" s="86"/>
      <c r="C7" s="86"/>
      <c r="D7" s="86"/>
    </row>
    <row r="8" spans="1:4" ht="19.95" customHeight="1">
      <c r="A8" s="92"/>
      <c r="B8" s="86"/>
      <c r="C8" s="86"/>
      <c r="D8" s="86"/>
    </row>
    <row r="9" spans="1:4" ht="19.95" customHeight="1">
      <c r="A9" s="92"/>
      <c r="B9" s="86"/>
      <c r="C9" s="86"/>
      <c r="D9" s="86"/>
    </row>
    <row r="10" spans="1:4" ht="19.95" customHeight="1">
      <c r="A10" s="92"/>
      <c r="B10" s="86"/>
      <c r="C10" s="86"/>
      <c r="D10" s="86"/>
    </row>
    <row r="11" spans="1:4" ht="19.95" customHeight="1">
      <c r="A11" s="92"/>
      <c r="B11" s="86"/>
      <c r="C11" s="86"/>
      <c r="D11" s="86"/>
    </row>
    <row r="12" spans="1:4" ht="19.95" customHeight="1">
      <c r="A12" s="92"/>
      <c r="B12" s="86"/>
      <c r="C12" s="86"/>
      <c r="D12" s="86"/>
    </row>
    <row r="13" spans="1:4" ht="19.95" customHeight="1">
      <c r="A13" s="92"/>
      <c r="B13" s="86"/>
      <c r="C13" s="86"/>
      <c r="D13" s="86"/>
    </row>
    <row r="14" spans="1:4" ht="19.95" customHeight="1">
      <c r="A14" s="92"/>
      <c r="B14" s="86"/>
      <c r="C14" s="86"/>
      <c r="D14" s="86"/>
    </row>
    <row r="15" spans="1:4" ht="19.95" customHeight="1">
      <c r="A15" s="92"/>
      <c r="B15" s="86"/>
      <c r="C15" s="86"/>
      <c r="D15" s="86"/>
    </row>
    <row r="16" spans="1:4" ht="19.95" customHeight="1">
      <c r="A16" s="92"/>
      <c r="B16" s="86"/>
      <c r="C16" s="86"/>
      <c r="D16" s="86"/>
    </row>
    <row r="17" spans="1:4" ht="19.95" customHeight="1">
      <c r="A17" s="92"/>
      <c r="B17" s="86"/>
      <c r="C17" s="86"/>
      <c r="D17" s="86"/>
    </row>
    <row r="18" spans="1:4" ht="19.95" customHeight="1">
      <c r="A18" s="92"/>
      <c r="B18" s="86"/>
      <c r="C18" s="86"/>
      <c r="D18" s="86"/>
    </row>
    <row r="19" spans="1:4" ht="19.95" customHeight="1">
      <c r="A19" s="92"/>
      <c r="B19" s="86"/>
      <c r="C19" s="86"/>
      <c r="D19" s="86"/>
    </row>
    <row r="20" spans="1:4" ht="19.95" customHeight="1">
      <c r="A20" s="92"/>
      <c r="B20" s="86"/>
      <c r="C20" s="86"/>
      <c r="D20" s="86"/>
    </row>
    <row r="21" spans="1:4" ht="19.95" customHeight="1">
      <c r="A21" s="92"/>
      <c r="B21" s="86"/>
      <c r="C21" s="86"/>
      <c r="D21" s="86"/>
    </row>
    <row r="22" spans="1:4" ht="19.95" customHeight="1">
      <c r="A22" s="92"/>
      <c r="B22" s="86"/>
      <c r="C22" s="86"/>
      <c r="D22" s="86"/>
    </row>
    <row r="23" spans="1:4" ht="19.95" customHeight="1">
      <c r="A23" s="92"/>
      <c r="B23" s="86"/>
      <c r="C23" s="86"/>
      <c r="D23" s="86"/>
    </row>
    <row r="24" spans="1:4" ht="19.95" customHeight="1">
      <c r="A24" s="92"/>
      <c r="B24" s="86"/>
      <c r="C24" s="86"/>
      <c r="D24" s="86"/>
    </row>
    <row r="25" spans="1:4" ht="19.95" customHeight="1">
      <c r="A25" s="92"/>
      <c r="B25" s="86"/>
      <c r="C25" s="86"/>
      <c r="D25" s="86"/>
    </row>
    <row r="26" spans="1:4" ht="19.95" customHeight="1">
      <c r="A26" s="92"/>
      <c r="B26" s="86"/>
      <c r="C26" s="86"/>
      <c r="D26" s="86"/>
    </row>
    <row r="27" spans="1:4" ht="19.95" customHeight="1">
      <c r="A27" s="92"/>
      <c r="B27" s="86"/>
      <c r="C27" s="86"/>
      <c r="D27" s="86"/>
    </row>
    <row r="28" spans="1:4" ht="19.95" customHeight="1">
      <c r="A28" s="92"/>
      <c r="B28" s="86"/>
      <c r="C28" s="86"/>
      <c r="D28" s="86"/>
    </row>
    <row r="29" spans="1:4" ht="19.95" customHeight="1">
      <c r="A29" s="92"/>
      <c r="B29" s="86"/>
      <c r="C29" s="86"/>
      <c r="D29" s="86"/>
    </row>
    <row r="30" spans="1:4" ht="19.95" customHeight="1">
      <c r="A30" s="92"/>
      <c r="B30" s="86"/>
      <c r="C30" s="86"/>
      <c r="D30" s="86"/>
    </row>
    <row r="31" spans="1:4" ht="19.95" customHeight="1">
      <c r="A31" s="92"/>
      <c r="B31" s="86"/>
      <c r="C31" s="86"/>
      <c r="D31" s="86"/>
    </row>
    <row r="32" spans="1:4" ht="19.95" customHeight="1">
      <c r="A32" s="92"/>
      <c r="B32" s="86"/>
      <c r="C32" s="86"/>
      <c r="D32" s="86"/>
    </row>
    <row r="33" spans="1:4" ht="19.95" customHeight="1">
      <c r="A33" s="92"/>
      <c r="B33" s="86"/>
      <c r="C33" s="86"/>
      <c r="D33" s="86"/>
    </row>
    <row r="34" spans="1:4" ht="19.95" customHeight="1">
      <c r="A34" s="92"/>
      <c r="B34" s="86"/>
      <c r="C34" s="86"/>
      <c r="D34" s="86"/>
    </row>
    <row r="35" spans="1:4" ht="19.95" customHeight="1">
      <c r="A35" s="92"/>
      <c r="B35" s="86"/>
      <c r="C35" s="86"/>
      <c r="D35" s="86"/>
    </row>
    <row r="36" spans="1:4" ht="19.95" customHeight="1">
      <c r="A36" s="92"/>
      <c r="B36" s="86"/>
      <c r="C36" s="86"/>
      <c r="D36" s="86"/>
    </row>
    <row r="37" spans="1:4" ht="19.95" customHeight="1">
      <c r="A37" s="92"/>
      <c r="B37" s="86"/>
      <c r="C37" s="86"/>
      <c r="D37" s="86"/>
    </row>
    <row r="38" spans="1:4" ht="19.95" customHeight="1">
      <c r="A38" s="92"/>
      <c r="B38" s="86"/>
      <c r="C38" s="86"/>
      <c r="D38" s="86"/>
    </row>
    <row r="39" spans="1:4" ht="19.95" customHeight="1">
      <c r="A39" s="92"/>
      <c r="B39" s="86"/>
      <c r="C39" s="86"/>
      <c r="D39" s="86"/>
    </row>
    <row r="40" spans="1:4" ht="19.95" customHeight="1">
      <c r="A40" s="92"/>
      <c r="B40" s="86"/>
      <c r="C40" s="86"/>
      <c r="D40" s="86"/>
    </row>
    <row r="41" spans="1:4" ht="19.95" customHeight="1">
      <c r="A41" s="92"/>
      <c r="B41" s="86"/>
      <c r="C41" s="86"/>
      <c r="D41" s="86"/>
    </row>
    <row r="42" spans="1:4" ht="19.95" customHeight="1">
      <c r="A42" s="92"/>
      <c r="B42" s="86"/>
      <c r="C42" s="86"/>
      <c r="D42" s="86"/>
    </row>
    <row r="43" spans="1:4" ht="19.95" customHeight="1">
      <c r="A43" s="92"/>
      <c r="B43" s="86"/>
      <c r="C43" s="86"/>
      <c r="D43" s="86"/>
    </row>
    <row r="44" spans="1:4" ht="19.95" customHeight="1">
      <c r="A44" s="92"/>
      <c r="B44" s="86"/>
      <c r="C44" s="86"/>
      <c r="D44" s="86"/>
    </row>
    <row r="45" spans="1:4" ht="19.95" customHeight="1">
      <c r="A45" s="92"/>
      <c r="B45" s="86"/>
      <c r="C45" s="86"/>
      <c r="D45" s="86"/>
    </row>
    <row r="46" spans="1:4" ht="19.95" customHeight="1">
      <c r="A46" s="92"/>
      <c r="B46" s="86"/>
      <c r="C46" s="86"/>
      <c r="D46" s="86"/>
    </row>
    <row r="47" spans="1:4" ht="19.95" customHeight="1">
      <c r="A47" s="92"/>
      <c r="B47" s="86"/>
      <c r="C47" s="86"/>
      <c r="D47" s="86"/>
    </row>
    <row r="48" spans="1:4" ht="19.95" customHeight="1">
      <c r="A48" s="92"/>
      <c r="B48" s="86"/>
      <c r="C48" s="86"/>
      <c r="D48" s="86"/>
    </row>
    <row r="49" spans="1:4" ht="19.95" customHeight="1">
      <c r="A49" s="92"/>
      <c r="B49" s="86"/>
      <c r="C49" s="86"/>
      <c r="D49" s="86"/>
    </row>
    <row r="50" spans="1:4" ht="19.95" customHeight="1">
      <c r="A50" s="92"/>
      <c r="B50" s="86"/>
      <c r="C50" s="86"/>
      <c r="D50" s="86"/>
    </row>
    <row r="51" spans="1:4" ht="19.95" customHeight="1"/>
  </sheetData>
  <phoneticPr fontId="3" type="noConversion"/>
  <conditionalFormatting sqref="A2:D50">
    <cfRule type="expression" dxfId="5" priority="1">
      <formula>OR($B2="2단계 3연차", $B2="3단계 3연차")</formula>
    </cfRule>
    <cfRule type="expression" dxfId="4" priority="2">
      <formula>OR($B2="2단계 2연차", $B2="3단계 2연차")</formula>
    </cfRule>
    <cfRule type="expression" dxfId="3" priority="3">
      <formula>OR($B2="2단계 1연차", $B2="3단계 1연차")</formula>
    </cfRule>
    <cfRule type="expression" dxfId="2" priority="4">
      <formula>OR($B2="0단계 3연차", $B2="1단계 3연차")</formula>
    </cfRule>
    <cfRule type="expression" dxfId="1" priority="5">
      <formula>OR($B2="0단계 2연차", $B2="1단계 2연차")</formula>
    </cfRule>
    <cfRule type="expression" dxfId="0" priority="6">
      <formula>OR($B2="0단계 1연차", $B2="1단계 1연차")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0C646E-5367-4D64-81B5-92B0C3F2072A}">
          <x14:formula1>
            <xm:f>정량지표!$A$3:$A$30</xm:f>
          </x14:formula1>
          <xm:sqref>A2:A32</xm:sqref>
        </x14:dataValidation>
        <x14:dataValidation type="list" allowBlank="1" showInputMessage="1" showErrorMessage="1" xr:uid="{7F1AA64A-1E17-4A37-91B7-C07A673F52E3}">
          <x14:formula1>
            <xm:f>개요!$A$17:$A$21</xm:f>
          </x14:formula1>
          <xm:sqref>B2:B24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556e23fd-9f3a-45ef-a5a1-aa2bcc2ee111}" enabled="1" method="Standard" siteId="{0e0de970-ba32-48a4-a048-99d48e6eb2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개요</vt:lpstr>
      <vt:lpstr>마일스톤</vt:lpstr>
      <vt:lpstr>정량지표</vt:lpstr>
      <vt:lpstr>정량지표상세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박인영 (Inyeong Park)</dc:creator>
  <cp:keywords/>
  <dc:description/>
  <cp:lastModifiedBy>박인영 (Inyeong Park)</cp:lastModifiedBy>
  <cp:revision/>
  <dcterms:created xsi:type="dcterms:W3CDTF">2026-04-08T23:12:00Z</dcterms:created>
  <dcterms:modified xsi:type="dcterms:W3CDTF">2026-06-02T03:43:21Z</dcterms:modified>
  <cp:category/>
  <cp:contentStatus/>
</cp:coreProperties>
</file>