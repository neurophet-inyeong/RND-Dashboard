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6608375F-5886-49D3-B998-3C8456B01358}" xr6:coauthVersionLast="47" xr6:coauthVersionMax="47" xr10:uidLastSave="{00000000-0000-0000-0000-000000000000}"/>
  <bookViews>
    <workbookView xWindow="34890" yWindow="360" windowWidth="21600" windowHeight="12390" activeTab="2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5" l="1"/>
  <c r="I7" i="5"/>
  <c r="I8" i="5"/>
  <c r="I9" i="5"/>
  <c r="J9" i="5"/>
  <c r="I10" i="5"/>
  <c r="J10" i="5"/>
  <c r="I11" i="5"/>
  <c r="J11" i="5"/>
  <c r="I12" i="5"/>
  <c r="J12" i="5"/>
  <c r="I13" i="5"/>
  <c r="J13" i="5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G4" i="5" a="1"/>
  <c r="G4" i="5" s="1"/>
  <c r="I4" i="5" s="1"/>
  <c r="H4" i="5" a="1"/>
  <c r="H4" i="5" s="1"/>
  <c r="J4" i="5" s="1"/>
  <c r="G5" i="5" a="1"/>
  <c r="G5" i="5" s="1"/>
  <c r="I5" i="5" s="1"/>
  <c r="H5" i="5" a="1"/>
  <c r="H5" i="5" s="1"/>
  <c r="J5" i="5" s="1"/>
  <c r="G6" i="5" a="1"/>
  <c r="G6" i="5" s="1"/>
  <c r="I6" i="5" s="1"/>
  <c r="H6" i="5" a="1"/>
  <c r="H6" i="5" s="1"/>
  <c r="G7" i="5" a="1"/>
  <c r="G7" i="5" s="1"/>
  <c r="H7" i="5" a="1"/>
  <c r="H7" i="5" s="1"/>
  <c r="J7" i="5" s="1"/>
  <c r="G8" i="5" a="1"/>
  <c r="G8" i="5" s="1"/>
  <c r="H8" i="5" a="1"/>
  <c r="H8" i="5"/>
  <c r="J8" i="5" s="1"/>
  <c r="G9" i="5" a="1"/>
  <c r="G9" i="5" s="1"/>
  <c r="H9" i="5" a="1"/>
  <c r="H9" i="5"/>
  <c r="G10" i="5" a="1"/>
  <c r="G10" i="5" s="1"/>
  <c r="H10" i="5" a="1"/>
  <c r="H10" i="5"/>
  <c r="G11" i="5" a="1"/>
  <c r="G11" i="5" s="1"/>
  <c r="H11" i="5" a="1"/>
  <c r="H11" i="5"/>
  <c r="G12" i="5" a="1"/>
  <c r="G12" i="5" s="1"/>
  <c r="H12" i="5" a="1"/>
  <c r="H12" i="5"/>
  <c r="G13" i="5" a="1"/>
  <c r="G13" i="5" s="1"/>
  <c r="H13" i="5" a="1"/>
  <c r="H13" i="5"/>
  <c r="G14" i="5" a="1"/>
  <c r="G14" i="5" s="1"/>
  <c r="H14" i="5" a="1"/>
  <c r="H14" i="5"/>
  <c r="G15" i="5" a="1"/>
  <c r="G15" i="5" s="1"/>
  <c r="H15" i="5" a="1"/>
  <c r="H15" i="5"/>
  <c r="G16" i="5" a="1"/>
  <c r="G16" i="5" s="1"/>
  <c r="H16" i="5" a="1"/>
  <c r="H16" i="5"/>
  <c r="G17" i="5" a="1"/>
  <c r="G17" i="5" s="1"/>
  <c r="H17" i="5" a="1"/>
  <c r="H17" i="5"/>
  <c r="G18" i="5" a="1"/>
  <c r="G18" i="5" s="1"/>
  <c r="H18" i="5" a="1"/>
  <c r="H18" i="5"/>
  <c r="G19" i="5" a="1"/>
  <c r="G19" i="5" s="1"/>
  <c r="H19" i="5" a="1"/>
  <c r="H19" i="5"/>
  <c r="G20" i="5" a="1"/>
  <c r="G20" i="5" s="1"/>
  <c r="H20" i="5" a="1"/>
  <c r="H20" i="5"/>
  <c r="G21" i="5" a="1"/>
  <c r="G21" i="5" s="1"/>
  <c r="H21" i="5" a="1"/>
  <c r="H21" i="5"/>
  <c r="G22" i="5" a="1"/>
  <c r="G22" i="5" s="1"/>
  <c r="H22" i="5" a="1"/>
  <c r="H22" i="5"/>
  <c r="G23" i="5" a="1"/>
  <c r="G23" i="5" s="1"/>
  <c r="H23" i="5" a="1"/>
  <c r="H23" i="5"/>
  <c r="G24" i="5" a="1"/>
  <c r="G24" i="5" s="1"/>
  <c r="H24" i="5" a="1"/>
  <c r="H24" i="5"/>
  <c r="G25" i="5" a="1"/>
  <c r="G25" i="5" s="1"/>
  <c r="H25" i="5" a="1"/>
  <c r="H25" i="5"/>
  <c r="G26" i="5" a="1"/>
  <c r="G26" i="5" s="1"/>
  <c r="H26" i="5" a="1"/>
  <c r="H26" i="5"/>
  <c r="G27" i="5" a="1"/>
  <c r="G27" i="5" s="1"/>
  <c r="H27" i="5" a="1"/>
  <c r="H27" i="5" s="1"/>
  <c r="G28" i="5" a="1"/>
  <c r="G28" i="5" s="1"/>
  <c r="H28" i="5" a="1"/>
  <c r="H28" i="5"/>
  <c r="G29" i="5" a="1"/>
  <c r="G29" i="5" s="1"/>
  <c r="H29" i="5" a="1"/>
  <c r="H29" i="5" s="1"/>
  <c r="G30" i="5" a="1"/>
  <c r="G30" i="5" s="1"/>
  <c r="H30" i="5" a="1"/>
  <c r="H30" i="5"/>
  <c r="H3" i="5" a="1"/>
  <c r="H3" i="5" s="1"/>
  <c r="J3" i="5" s="1"/>
  <c r="G3" i="5" a="1"/>
  <c r="G3" i="5" s="1"/>
  <c r="I3" i="5" s="1"/>
  <c r="G2" i="1" l="1" a="1"/>
  <c r="G2" i="1" s="1"/>
  <c r="A28" i="4" l="1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J31" i="5" l="1"/>
  <c r="D3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<sst xmlns="http://schemas.openxmlformats.org/spreadsheetml/2006/main" count="159" uniqueCount="118">
  <si>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</si>
  <si>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</si>
  <si>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</si>
  <si>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</si>
  <si>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</si>
  <si>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</si>
  <si>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</si>
  <si>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</si>
  <si>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</si>
  <si>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</si>
  <si>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</si>
  <si>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</si>
  <si>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</si>
  <si>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</si>
  <si>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</si>
  <si>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</si>
  <si>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</si>
  <si>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</si>
  <si>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</si>
  <si>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</si>
  <si>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</si>
  <si>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</si>
  <si>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</si>
  <si>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</si>
  <si>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</si>
  <si>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</si>
  <si>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</si>
  <si>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</si>
  <si>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</si>
  <si>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</si>
  <si>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</si>
  <si>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</si>
  <si>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</si>
  <si>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</si>
  <si>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</si>
  <si>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</si>
  <si>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</si>
  <si>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</si>
  <si>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</si>
  <si>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</si>
  <si>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</si>
  <si>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</si>
  <si>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</si>
  <si>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</si>
  <si>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</si>
  <si>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</si>
  <si>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</si>
  <si>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</si>
  <si>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</si>
  <si>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</si>
  <si>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</si>
  <si>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</si>
  <si>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</si>
  <si>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</si>
  <si>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</si>
  <si>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</si>
  <si>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</si>
  <si>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</si>
  <si>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</si>
  <si>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</si>
  <si>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</si>
  <si>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</si>
  <si>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</si>
  <si>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/>
  </si>
  <si>
    <t>건</t>
  </si>
  <si>
    <t>1단계 1연차</t>
  </si>
  <si>
    <t>1단계 2연차</t>
  </si>
  <si>
    <t>2단계 1연차</t>
  </si>
  <si>
    <t>2단계 2연차</t>
  </si>
  <si>
    <t>주관(김은영)</t>
  </si>
  <si>
    <t>2026-04-01 - 2026-12-31 (1단계 1연차)</t>
  </si>
  <si>
    <t>논문</t>
  </si>
  <si>
    <t>목표</t>
  </si>
  <si>
    <t>연차별 연구개발 달성률</t>
  </si>
  <si>
    <t>달성</t>
    <phoneticPr fontId="2" type="noConversion"/>
  </si>
  <si>
    <t>범부처(과학기술정보통신부, 산업통상부, 보건복지부, 식품의약품안전처)</t>
  </si>
  <si>
    <t>재단법인 범부처의료기기연구개발사업단</t>
  </si>
  <si>
    <t>2026년도 범부처 첨단 의료기기 연구개발사업</t>
  </si>
  <si>
    <t>치료 반응 모니터링 및 예측을 위한 다질환 확장형 AI 뇌영상 분석 플랫폼 개발</t>
  </si>
  <si>
    <t>RS-2026-25540444</t>
  </si>
  <si>
    <t>2026-04-01 - 2029-12-31</t>
  </si>
  <si>
    <t>IRIS</t>
  </si>
  <si>
    <t>1단계 1,2 / 2단계 1,2</t>
  </si>
  <si>
    <t>학습 데이터 확보 및 큐레이션</t>
  </si>
  <si>
    <t>병변 특화/다질환 확장 모델을 위한 데이터셋 구축(병변 레이블 포함)</t>
  </si>
  <si>
    <t>파운데이션 모델(NeuroCore) 아키텍쳐 설계</t>
  </si>
  <si>
    <t>NeuroCore 업스트림 학습 및 테스트</t>
  </si>
  <si>
    <t>FLAIR 기반 다질환 확장(병변 특화) 다운스트림 학습: edema, ARIA-E, WMH, MS/NMOSD/MOGAD 병변</t>
  </si>
  <si>
    <t>SWI/GRE 기반 다질환 확장(병변 특화) 다운스트림 학습: SS 및 기타 출혈 병변</t>
  </si>
  <si>
    <t>기개발 모델(AQUA AD)의 기술문서 확보</t>
  </si>
  <si>
    <t>기개발 모델(AQUA AD)의 확증임상시험 착수</t>
  </si>
  <si>
    <t>기개발 모델(AQUA AD)의 국내 확증임상시험 실시</t>
  </si>
  <si>
    <t>기개발 모델(AQUA MS)의 해외 임상시험(MRMC) 실시</t>
  </si>
  <si>
    <t>FLAIR 기반 다질환 확장(병변 특화) 모델 개발 및 성능 평가</t>
  </si>
  <si>
    <t>SWI/GRE 기반 다질환 확장(병변 특화) 모델 개발 및 성능 평가: SS 기타 출혈 병변</t>
  </si>
  <si>
    <t>다기관 데이터셋 기반 Groud Truth 병변 레이블 제작</t>
  </si>
  <si>
    <t>시계열(Longitudinal) 분석 모듈 고도화</t>
  </si>
  <si>
    <t>Level 1 제품(NeuroCore 기반 모델, CAA/TBI 패턴 분류, 시계열 분석 기능) 탑재</t>
  </si>
  <si>
    <t>예측 모델 구축 및 상용화 검토</t>
  </si>
  <si>
    <t>기개발 모델(AQUA AD)의 국내 인허가 완료</t>
  </si>
  <si>
    <t>기개발 모델(AQUA MS)의 해외 임상시험(MRMC) 수행</t>
  </si>
  <si>
    <t>NeuroCore 기반 모델의 Level 1 제품 탑재</t>
  </si>
  <si>
    <t>Level 1 제품의 기술문서 확보(인허가 대비)</t>
  </si>
  <si>
    <t>Level 1 제품의 국내/해외 인허가 착수</t>
  </si>
  <si>
    <t>기개발 모델(AQUA MS)의 해외 인허가 심사(CE-MDR, 유럽)</t>
  </si>
  <si>
    <t>Level 1 제품의 국내/해외 임상시험</t>
  </si>
  <si>
    <t>Level 1 제품의 국내/해외 인허가 준비</t>
  </si>
  <si>
    <t>Level 2 제품(Level 1 모듈 포함, PVS 분할, ASL 분석, 예측 모델) 탑재</t>
  </si>
  <si>
    <t>SCI€학술지 등록건수</t>
  </si>
  <si>
    <t>특허 출원건수-국내출원</t>
  </si>
  <si>
    <t>출원증</t>
  </si>
  <si>
    <t>특허 출원건수-국내등록</t>
  </si>
  <si>
    <t>등록증</t>
  </si>
  <si>
    <t>시험제품제작-시험제품(TRL6 단계) 건수</t>
  </si>
  <si>
    <t>시제품</t>
  </si>
  <si>
    <t>임상시험 등록건수</t>
  </si>
  <si>
    <t>결과보고서</t>
  </si>
  <si>
    <t>품목신고/인증/허가(의료기기)등록 건수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</si>
</sst>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25"/>
    <tableColumn id="3" xr3:uid="{15B8A075-924A-4F77-9C39-E818235BEA69}" uniqueName="3" name="Column3" queryTableFieldId="3" dataDxfId="24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23" dataCellStyle="쉼표 [0]"/>
    <tableColumn id="6" xr3:uid="{F75D7DA7-D7FD-4922-8064-F907DAA3A629}" uniqueName="6" name="Column6" queryTableFieldId="6" dataDxfId="22" dataCellStyle="쉼표 [0]"/>
    <tableColumn id="7" xr3:uid="{BE8AED2F-4E5E-4A36-AAB9-E3E95C0441AE}" uniqueName="7" name="Column7" queryTableFieldId="7" dataDxfId="21" dataCellStyle="쉼표 [0]"/>
    <tableColumn id="8" xr3:uid="{D3ED56F8-218D-4082-B99D-25694FAC2CD5}" uniqueName="8" name="Column8" queryTableFieldId="8" dataDxfId="20" dataCellStyle="쉼표 [0]"/>
    <tableColumn id="9" xr3:uid="{368D1A99-AE6F-4D23-96A3-EBC8D664866C}" uniqueName="9" name="Column9" queryTableFieldId="9" dataDxfId="19" dataCellStyle="쉼표 [0]"/>
    <tableColumn id="10" xr3:uid="{9CE2C289-F616-4094-A439-4984025E56F8}" uniqueName="10" name="Column10" queryTableFieldId="10" dataDxfId="18" dataCellStyle="쉼표 [0]"/>
    <tableColumn id="11" xr3:uid="{394D2E84-2C7D-4F3C-925C-38115EEC6C64}" uniqueName="11" name="Column11" queryTableFieldId="11" dataDxfId="17" dataCellStyle="쉼표 [0]"/>
    <tableColumn id="12" xr3:uid="{6F0B6F7A-B763-4899-8B03-00F5DD6AC656}" uniqueName="12" name="Column12" queryTableFieldId="12" dataDxfId="16" dataCellStyle="쉼표 [0]"/>
    <tableColumn id="13" xr3:uid="{5D17574F-781C-436D-B6FB-9133EC1A1923}" uniqueName="13" name="Column13" queryTableFieldId="13" dataDxfId="15" dataCellStyle="쉼표 [0]"/>
    <tableColumn id="14" xr3:uid="{D98EE9A7-E736-42AD-B910-87D62615A8DB}" uniqueName="14" name="Column14" queryTableFieldId="14" dataDxfId="14" dataCellStyle="쉼표 [0]"/>
    <tableColumn id="15" xr3:uid="{A00C3AD1-0E3B-4314-98C9-8AD000C39263}" uniqueName="15" name="Column15" queryTableFieldId="15" dataDxfId="13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C13" sqref="C13"/>
    </sheetView>
  </sheetViews>
  <sheetFormatPr defaultColWidth="17.59765625" defaultRowHeight="15" customHeight="1" x14ac:dyDescent="0.4"/>
  <cols>
    <col min="1" max="1" width="17.3984375" style="1" bestFit="1" customWidth="1"/>
    <col min="2" max="2" width="73.19921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4.69921875" style="1" bestFit="1" customWidth="1"/>
    <col min="12" max="12" width="13.09765625" style="1" bestFit="1" customWidth="1"/>
    <col min="13" max="13" width="14.6992187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RS-2026-25540444</v>
      </c>
    </row>
    <row r="3" spans="1:10" ht="17.399999999999999" x14ac:dyDescent="0.4">
      <c r="A3" t="s">
        <v>21</v>
      </c>
      <c r="B3" t="s">
        <v>75</v>
      </c>
      <c r="E3" s="1"/>
      <c r="F3" s="1"/>
      <c r="G3" s="1"/>
    </row>
    <row r="4" spans="1:10" ht="17.399999999999999" x14ac:dyDescent="0.4">
      <c r="A4" t="s">
        <v>22</v>
      </c>
      <c r="B4" t="s">
        <v>76</v>
      </c>
      <c r="E4" s="1"/>
      <c r="F4" s="1"/>
      <c r="G4" s="1"/>
    </row>
    <row r="5" spans="1:10" ht="17.399999999999999" x14ac:dyDescent="0.4">
      <c r="A5" t="s">
        <v>23</v>
      </c>
      <c r="B5" t="s">
        <v>77</v>
      </c>
      <c r="E5" s="1"/>
      <c r="F5" s="1"/>
      <c r="G5" s="1"/>
    </row>
    <row r="6" spans="1:10" ht="17.399999999999999" x14ac:dyDescent="0.4">
      <c r="A6" t="s">
        <v>24</v>
      </c>
      <c r="B6" t="s">
        <v>78</v>
      </c>
      <c r="E6" s="1"/>
      <c r="F6" s="1"/>
      <c r="G6" s="1"/>
    </row>
    <row r="7" spans="1:10" ht="17.399999999999999" x14ac:dyDescent="0.4">
      <c r="A7" t="s">
        <v>25</v>
      </c>
      <c r="B7" t="s">
        <v>79</v>
      </c>
      <c r="E7" s="1"/>
      <c r="F7" s="1"/>
      <c r="G7" s="1"/>
    </row>
    <row r="8" spans="1:10" ht="17.399999999999999" x14ac:dyDescent="0.4">
      <c r="A8" t="s">
        <v>26</v>
      </c>
      <c r="B8" t="s">
        <v>69</v>
      </c>
      <c r="E8" s="1"/>
      <c r="F8" s="1"/>
      <c r="G8" s="1"/>
    </row>
    <row r="9" spans="1:10" ht="17.399999999999999" x14ac:dyDescent="0.4">
      <c r="A9" t="s">
        <v>27</v>
      </c>
      <c r="B9" t="s">
        <v>80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70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 t="s">
        <v>81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4">
        <v>46059</v>
      </c>
      <c r="E14" s="1"/>
      <c r="F14" s="5"/>
      <c r="G14" s="1"/>
    </row>
    <row r="15" spans="1:10" ht="17.399999999999999" x14ac:dyDescent="0.4">
      <c r="A15" t="s">
        <v>33</v>
      </c>
      <c r="B15" t="s">
        <v>82</v>
      </c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5" t="s">
        <v>37</v>
      </c>
      <c r="F17" s="5" t="s">
        <v>38</v>
      </c>
      <c r="G17" s="26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65</v>
      </c>
      <c r="B19" s="24">
        <v>46113</v>
      </c>
      <c r="C19" s="24">
        <v>46387</v>
      </c>
      <c r="D19">
        <v>9</v>
      </c>
      <c r="E19" s="27">
        <v>0</v>
      </c>
      <c r="F19" s="27">
        <v>150000000</v>
      </c>
      <c r="G19" s="27"/>
      <c r="H19" s="27">
        <v>5000000</v>
      </c>
      <c r="I19" s="27">
        <v>45000000</v>
      </c>
      <c r="J19" s="27">
        <v>50000000</v>
      </c>
      <c r="K19" s="27">
        <v>155000000</v>
      </c>
      <c r="L19" s="27">
        <v>45000000</v>
      </c>
      <c r="M19" s="27">
        <v>200000000</v>
      </c>
      <c r="N19" s="27"/>
      <c r="O19" s="27"/>
    </row>
    <row r="20" spans="1:15" ht="17.399999999999999" x14ac:dyDescent="0.4">
      <c r="A20" t="s">
        <v>66</v>
      </c>
      <c r="B20" s="24">
        <v>46388</v>
      </c>
      <c r="C20" s="24">
        <v>46752</v>
      </c>
      <c r="D20">
        <v>12</v>
      </c>
      <c r="E20" s="27">
        <v>0</v>
      </c>
      <c r="F20" s="27">
        <v>250000000</v>
      </c>
      <c r="G20" s="27"/>
      <c r="H20" s="27">
        <v>8334000</v>
      </c>
      <c r="I20" s="27">
        <v>75000000</v>
      </c>
      <c r="J20" s="27">
        <v>83334000</v>
      </c>
      <c r="K20" s="27">
        <v>258334000</v>
      </c>
      <c r="L20" s="27">
        <v>75000000</v>
      </c>
      <c r="M20" s="27">
        <v>333334000</v>
      </c>
      <c r="N20" s="27"/>
      <c r="O20" s="27"/>
    </row>
    <row r="21" spans="1:15" ht="17.399999999999999" x14ac:dyDescent="0.4">
      <c r="A21" t="s">
        <v>67</v>
      </c>
      <c r="B21" s="24">
        <v>46753</v>
      </c>
      <c r="C21" s="24">
        <v>47118</v>
      </c>
      <c r="D21">
        <v>12</v>
      </c>
      <c r="E21" s="27">
        <v>0</v>
      </c>
      <c r="F21" s="27">
        <v>275000000</v>
      </c>
      <c r="G21" s="27"/>
      <c r="H21" s="27">
        <v>9167000</v>
      </c>
      <c r="I21" s="27">
        <v>82500000</v>
      </c>
      <c r="J21" s="27">
        <v>91667000</v>
      </c>
      <c r="K21" s="27">
        <v>284167000</v>
      </c>
      <c r="L21" s="27">
        <v>82500000</v>
      </c>
      <c r="M21" s="27">
        <v>366667000</v>
      </c>
      <c r="N21" s="27"/>
      <c r="O21" s="27"/>
    </row>
    <row r="22" spans="1:15" ht="17.399999999999999" x14ac:dyDescent="0.4">
      <c r="A22" t="s">
        <v>68</v>
      </c>
      <c r="B22" s="24">
        <v>47119</v>
      </c>
      <c r="C22" s="24">
        <v>47483</v>
      </c>
      <c r="D22">
        <v>12</v>
      </c>
      <c r="E22" s="27">
        <v>0</v>
      </c>
      <c r="F22" s="27">
        <v>295000000</v>
      </c>
      <c r="G22" s="27"/>
      <c r="H22" s="27">
        <v>9834000</v>
      </c>
      <c r="I22" s="27">
        <v>88500000</v>
      </c>
      <c r="J22" s="27">
        <v>98334000</v>
      </c>
      <c r="K22" s="27">
        <v>304834000</v>
      </c>
      <c r="L22" s="27">
        <v>88500000</v>
      </c>
      <c r="M22" s="27">
        <v>393334000</v>
      </c>
      <c r="N22" s="27"/>
      <c r="O22" s="27"/>
    </row>
    <row r="23" spans="1:15" ht="17.399999999999999" x14ac:dyDescent="0.4">
      <c r="A23"/>
      <c r="B23" s="24"/>
      <c r="C23" s="24"/>
      <c r="D23" t="s">
        <v>63</v>
      </c>
      <c r="E23" s="27">
        <v>0</v>
      </c>
      <c r="F23" s="27"/>
      <c r="G23" s="27"/>
      <c r="H23" s="27"/>
      <c r="I23" s="27"/>
      <c r="J23" s="27"/>
      <c r="K23" s="27">
        <v>0</v>
      </c>
      <c r="L23" s="27">
        <v>0</v>
      </c>
      <c r="M23" s="27">
        <v>0</v>
      </c>
      <c r="N23" s="27"/>
      <c r="O23" s="27"/>
    </row>
    <row r="24" spans="1:15" ht="17.399999999999999" x14ac:dyDescent="0.4">
      <c r="A24" t="s">
        <v>62</v>
      </c>
      <c r="B24"/>
      <c r="C24"/>
      <c r="D24">
        <v>45</v>
      </c>
      <c r="E24" s="27">
        <v>0</v>
      </c>
      <c r="F24" s="27">
        <v>970000000</v>
      </c>
      <c r="G24" s="27">
        <v>0</v>
      </c>
      <c r="H24" s="27">
        <v>32335000</v>
      </c>
      <c r="I24" s="27">
        <v>291000000</v>
      </c>
      <c r="J24" s="27">
        <v>323335000</v>
      </c>
      <c r="K24" s="27">
        <v>1002335000</v>
      </c>
      <c r="L24" s="27">
        <v>291000000</v>
      </c>
      <c r="M24" s="27">
        <v>1293335000</v>
      </c>
      <c r="N24" s="27">
        <v>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opLeftCell="A19" workbookViewId="0">
      <selection activeCell="B11" sqref="B11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28" t="s">
        <v>3</v>
      </c>
      <c r="E1" s="28"/>
      <c r="F1" s="29" t="s">
        <v>4</v>
      </c>
      <c r="G1" s="29"/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2" t="s">
        <v>83</v>
      </c>
      <c r="C3" s="9" t="s">
        <v>65</v>
      </c>
      <c r="D3" s="9">
        <v>46113</v>
      </c>
      <c r="E3" s="9">
        <v>46295</v>
      </c>
      <c r="F3" s="9"/>
      <c r="G3" s="9"/>
    </row>
    <row r="4" spans="1:7" x14ac:dyDescent="0.4">
      <c r="A4" s="15">
        <v>2</v>
      </c>
      <c r="B4" s="12" t="s">
        <v>84</v>
      </c>
      <c r="C4" s="9" t="s">
        <v>65</v>
      </c>
      <c r="D4" s="9">
        <v>46113</v>
      </c>
      <c r="E4" s="9">
        <v>46295</v>
      </c>
      <c r="F4" s="9"/>
      <c r="G4" s="9"/>
    </row>
    <row r="5" spans="1:7" x14ac:dyDescent="0.4">
      <c r="A5" s="15">
        <v>3</v>
      </c>
      <c r="B5" s="12" t="s">
        <v>85</v>
      </c>
      <c r="C5" s="9" t="s">
        <v>65</v>
      </c>
      <c r="D5" s="9">
        <v>46113</v>
      </c>
      <c r="E5" s="9">
        <v>46203</v>
      </c>
      <c r="F5" s="9"/>
      <c r="G5" s="9"/>
    </row>
    <row r="6" spans="1:7" x14ac:dyDescent="0.4">
      <c r="A6" s="15">
        <v>4</v>
      </c>
      <c r="B6" s="12" t="s">
        <v>86</v>
      </c>
      <c r="C6" s="9" t="s">
        <v>65</v>
      </c>
      <c r="D6" s="9">
        <v>46204</v>
      </c>
      <c r="E6" s="9">
        <v>46387</v>
      </c>
      <c r="F6" s="9"/>
      <c r="G6" s="9"/>
    </row>
    <row r="7" spans="1:7" x14ac:dyDescent="0.4">
      <c r="A7" s="15">
        <v>5</v>
      </c>
      <c r="B7" s="12" t="s">
        <v>87</v>
      </c>
      <c r="C7" s="9" t="s">
        <v>65</v>
      </c>
      <c r="D7" s="9">
        <v>46235</v>
      </c>
      <c r="E7" s="9">
        <v>46387</v>
      </c>
      <c r="F7" s="9"/>
      <c r="G7" s="9"/>
    </row>
    <row r="8" spans="1:7" x14ac:dyDescent="0.4">
      <c r="A8" s="15">
        <v>6</v>
      </c>
      <c r="B8" s="13" t="s">
        <v>88</v>
      </c>
      <c r="C8" s="9" t="s">
        <v>65</v>
      </c>
      <c r="D8" s="9">
        <v>46235</v>
      </c>
      <c r="E8" s="9">
        <v>46387</v>
      </c>
      <c r="F8" s="9"/>
      <c r="G8" s="9"/>
    </row>
    <row r="9" spans="1:7" x14ac:dyDescent="0.4">
      <c r="A9" s="15">
        <v>7</v>
      </c>
      <c r="B9" s="13" t="s">
        <v>89</v>
      </c>
      <c r="C9" s="9" t="s">
        <v>65</v>
      </c>
      <c r="D9" s="9">
        <v>46113</v>
      </c>
      <c r="E9" s="9">
        <v>46265</v>
      </c>
      <c r="F9" s="9"/>
      <c r="G9" s="9"/>
    </row>
    <row r="10" spans="1:7" x14ac:dyDescent="0.4">
      <c r="A10" s="15">
        <v>8</v>
      </c>
      <c r="B10" s="12" t="s">
        <v>90</v>
      </c>
      <c r="C10" s="9" t="s">
        <v>65</v>
      </c>
      <c r="D10" s="9">
        <v>46266</v>
      </c>
      <c r="E10" s="9">
        <v>46387</v>
      </c>
      <c r="F10" s="9"/>
      <c r="G10" s="9"/>
    </row>
    <row r="11" spans="1:7" x14ac:dyDescent="0.4">
      <c r="A11" s="15">
        <v>9</v>
      </c>
      <c r="B11" s="12" t="s">
        <v>91</v>
      </c>
      <c r="C11" s="9" t="s">
        <v>66</v>
      </c>
      <c r="D11" s="9">
        <v>46388</v>
      </c>
      <c r="E11" s="9">
        <v>46752</v>
      </c>
      <c r="F11" s="9"/>
      <c r="G11" s="9"/>
    </row>
    <row r="12" spans="1:7" x14ac:dyDescent="0.4">
      <c r="A12" s="15">
        <v>10</v>
      </c>
      <c r="B12" s="12" t="s">
        <v>92</v>
      </c>
      <c r="C12" s="9" t="s">
        <v>66</v>
      </c>
      <c r="D12" s="9">
        <v>46569</v>
      </c>
      <c r="E12" s="9">
        <v>46752</v>
      </c>
      <c r="F12" s="9"/>
      <c r="G12" s="9"/>
    </row>
    <row r="13" spans="1:7" x14ac:dyDescent="0.4">
      <c r="A13" s="15">
        <v>11</v>
      </c>
      <c r="B13" s="12" t="s">
        <v>93</v>
      </c>
      <c r="C13" s="9" t="s">
        <v>66</v>
      </c>
      <c r="D13" s="9">
        <v>46388</v>
      </c>
      <c r="E13" s="9">
        <v>46568</v>
      </c>
      <c r="F13" s="9"/>
      <c r="G13" s="9"/>
    </row>
    <row r="14" spans="1:7" x14ac:dyDescent="0.4">
      <c r="A14" s="15">
        <v>12</v>
      </c>
      <c r="B14" s="12" t="s">
        <v>94</v>
      </c>
      <c r="C14" s="9" t="s">
        <v>66</v>
      </c>
      <c r="D14" s="9">
        <v>46569</v>
      </c>
      <c r="E14" s="9">
        <v>46568</v>
      </c>
      <c r="F14" s="9"/>
      <c r="G14" s="9"/>
    </row>
    <row r="15" spans="1:7" x14ac:dyDescent="0.4">
      <c r="A15" s="15">
        <v>13</v>
      </c>
      <c r="B15" s="12" t="s">
        <v>95</v>
      </c>
      <c r="C15" s="9" t="s">
        <v>66</v>
      </c>
      <c r="D15" s="9">
        <v>46569</v>
      </c>
      <c r="E15" s="9">
        <v>46568</v>
      </c>
      <c r="F15" s="9"/>
      <c r="G15" s="9"/>
    </row>
    <row r="16" spans="1:7" x14ac:dyDescent="0.4">
      <c r="A16" s="15">
        <v>14</v>
      </c>
      <c r="B16" s="12" t="s">
        <v>96</v>
      </c>
      <c r="C16" s="9" t="s">
        <v>66</v>
      </c>
      <c r="D16" s="9">
        <v>46478</v>
      </c>
      <c r="E16" s="9">
        <v>46568</v>
      </c>
      <c r="F16" s="9"/>
      <c r="G16" s="9"/>
    </row>
    <row r="17" spans="1:7" x14ac:dyDescent="0.4">
      <c r="A17" s="15">
        <v>15</v>
      </c>
      <c r="B17" s="14" t="s">
        <v>97</v>
      </c>
      <c r="C17" s="9" t="s">
        <v>66</v>
      </c>
      <c r="D17" s="9">
        <v>46661</v>
      </c>
      <c r="E17" s="9">
        <v>46752</v>
      </c>
      <c r="F17" s="9"/>
      <c r="G17" s="9"/>
    </row>
    <row r="18" spans="1:7" x14ac:dyDescent="0.4">
      <c r="A18" s="15">
        <v>16</v>
      </c>
      <c r="B18" s="14" t="s">
        <v>98</v>
      </c>
      <c r="C18" s="9" t="s">
        <v>66</v>
      </c>
      <c r="D18" s="9">
        <v>46569</v>
      </c>
      <c r="E18" s="9">
        <v>46752</v>
      </c>
      <c r="F18" s="9"/>
      <c r="G18" s="9"/>
    </row>
    <row r="19" spans="1:7" x14ac:dyDescent="0.4">
      <c r="A19" s="15">
        <v>17</v>
      </c>
      <c r="B19" s="14" t="s">
        <v>99</v>
      </c>
      <c r="C19" s="9" t="s">
        <v>67</v>
      </c>
      <c r="D19" s="9">
        <v>46753</v>
      </c>
      <c r="E19" s="9">
        <v>46934</v>
      </c>
      <c r="F19" s="9"/>
      <c r="G19" s="9"/>
    </row>
    <row r="20" spans="1:7" x14ac:dyDescent="0.4">
      <c r="A20" s="15">
        <v>18</v>
      </c>
      <c r="B20" s="14" t="s">
        <v>100</v>
      </c>
      <c r="C20" s="9" t="s">
        <v>67</v>
      </c>
      <c r="D20" s="9">
        <v>46753</v>
      </c>
      <c r="E20" s="9">
        <v>47118</v>
      </c>
      <c r="F20" s="9"/>
      <c r="G20" s="9"/>
    </row>
    <row r="21" spans="1:7" x14ac:dyDescent="0.4">
      <c r="A21" s="15">
        <v>19</v>
      </c>
      <c r="B21" s="14" t="s">
        <v>101</v>
      </c>
      <c r="C21" s="9" t="s">
        <v>67</v>
      </c>
      <c r="D21" s="9">
        <v>46753</v>
      </c>
      <c r="E21" s="9">
        <v>46843</v>
      </c>
      <c r="F21" s="9"/>
      <c r="G21" s="9"/>
    </row>
    <row r="22" spans="1:7" x14ac:dyDescent="0.4">
      <c r="A22" s="15">
        <v>20</v>
      </c>
      <c r="B22" s="14" t="s">
        <v>102</v>
      </c>
      <c r="C22" s="9" t="s">
        <v>67</v>
      </c>
      <c r="D22" s="9">
        <v>46753</v>
      </c>
      <c r="E22" s="9">
        <v>47118</v>
      </c>
      <c r="F22" s="9"/>
      <c r="G22" s="9"/>
    </row>
    <row r="23" spans="1:7" x14ac:dyDescent="0.4">
      <c r="A23" s="15">
        <v>21</v>
      </c>
      <c r="B23" s="14" t="s">
        <v>103</v>
      </c>
      <c r="C23" s="9" t="s">
        <v>67</v>
      </c>
      <c r="D23" s="9">
        <v>46935</v>
      </c>
      <c r="E23" s="9">
        <v>47118</v>
      </c>
      <c r="F23" s="9"/>
      <c r="G23" s="9"/>
    </row>
    <row r="24" spans="1:7" x14ac:dyDescent="0.4">
      <c r="A24" s="15">
        <v>22</v>
      </c>
      <c r="B24" s="14" t="s">
        <v>104</v>
      </c>
      <c r="C24" s="9" t="s">
        <v>68</v>
      </c>
      <c r="D24" s="9">
        <v>47119</v>
      </c>
      <c r="E24" s="9">
        <v>47483</v>
      </c>
      <c r="F24" s="9"/>
      <c r="G24" s="9"/>
    </row>
    <row r="25" spans="1:7" x14ac:dyDescent="0.4">
      <c r="A25" s="15">
        <v>23</v>
      </c>
      <c r="B25" s="14" t="s">
        <v>105</v>
      </c>
      <c r="C25" s="9" t="s">
        <v>68</v>
      </c>
      <c r="D25" s="9">
        <v>47119</v>
      </c>
      <c r="E25" s="9">
        <v>47483</v>
      </c>
      <c r="F25" s="9"/>
      <c r="G25" s="9"/>
    </row>
    <row r="26" spans="1:7" x14ac:dyDescent="0.4">
      <c r="A26" s="15">
        <v>24</v>
      </c>
      <c r="B26" s="14" t="s">
        <v>106</v>
      </c>
      <c r="C26" s="9" t="s">
        <v>68</v>
      </c>
      <c r="D26" s="9">
        <v>47300</v>
      </c>
      <c r="E26" s="9">
        <v>47483</v>
      </c>
      <c r="F26" s="9"/>
      <c r="G26" s="9"/>
    </row>
    <row r="27" spans="1:7" x14ac:dyDescent="0.4">
      <c r="A27" s="15">
        <v>25</v>
      </c>
      <c r="B27" s="14" t="s">
        <v>107</v>
      </c>
      <c r="C27" s="9" t="s">
        <v>68</v>
      </c>
      <c r="D27" s="9">
        <v>47209</v>
      </c>
      <c r="E27" s="9">
        <v>47483</v>
      </c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mergeCells count="2">
    <mergeCell ref="D1:E1"/>
    <mergeCell ref="F1:G1"/>
  </mergeCells>
  <phoneticPr fontId="2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28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tabSelected="1" workbookViewId="0">
      <selection activeCell="C11" sqref="C11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32" t="s">
        <v>72</v>
      </c>
      <c r="F1" s="33"/>
      <c r="G1" s="32" t="s">
        <v>74</v>
      </c>
      <c r="H1" s="33"/>
      <c r="I1" s="32" t="s">
        <v>73</v>
      </c>
      <c r="J1" s="33"/>
    </row>
    <row r="2" spans="1:10" x14ac:dyDescent="0.4">
      <c r="A2" s="31"/>
      <c r="B2" s="31"/>
      <c r="C2" s="31"/>
      <c r="D2" s="31"/>
      <c r="E2" s="19" t="s">
        <v>66</v>
      </c>
      <c r="F2" s="19" t="s">
        <v>68</v>
      </c>
      <c r="G2" s="19" t="s">
        <v>66</v>
      </c>
      <c r="H2" s="19" t="s">
        <v>68</v>
      </c>
      <c r="I2" s="19" t="s">
        <v>66</v>
      </c>
      <c r="J2" s="19" t="s">
        <v>68</v>
      </c>
    </row>
    <row r="3" spans="1:10" x14ac:dyDescent="0.4">
      <c r="A3" s="21" t="s">
        <v>108</v>
      </c>
      <c r="B3" s="21" t="s">
        <v>71</v>
      </c>
      <c r="C3" s="21" t="s">
        <v>64</v>
      </c>
      <c r="D3" s="21">
        <v>25</v>
      </c>
      <c r="E3" s="21">
        <v>1</v>
      </c>
      <c r="F3" s="21">
        <v>1</v>
      </c>
      <c r="G3" s="22" t="str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/>
      </c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 t="str">
        <f>IF(E3="","",
   IF(ISNUMBER(E3),
      IF(N(G3)/E3&gt;=1,"달성","미달성"),
      IF(E3=G3,"달성","미달성")
   )
)</f>
        <v>미달성</v>
      </c>
      <c r="J3" s="22" t="str">
        <f>IF(F3="","",
   IF(ISNUMBER(F3),
      IF(N(H3)/F3&gt;=1,"달성","미달성"),
      IF(F3=H3,"달성","미달성")
   )
)</f>
        <v>미달성</v>
      </c>
    </row>
    <row r="4" spans="1:10" x14ac:dyDescent="0.4">
      <c r="A4" s="21" t="s">
        <v>109</v>
      </c>
      <c r="B4" s="21" t="s">
        <v>110</v>
      </c>
      <c r="C4" s="21" t="s">
        <v>64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 t="str">
        <f t="shared" ref="I4:I30" si="0">IF(E4="","",
   IF(ISNUMBER(E4),
      IF(N(G4)/E4&gt;=1,"달성","미달성"),
      IF(E4=G4,"달성","미달성")
   )
)</f>
        <v>미달성</v>
      </c>
      <c r="J4" s="22" t="str">
        <f t="shared" ref="J4:J30" si="1">IF(F4="","",
   IF(ISNUMBER(F4),
      IF(N(H4)/F4&gt;=1,"달성","미달성"),
      IF(F4=H4,"달성","미달성")
   )
)</f>
        <v>미달성</v>
      </c>
    </row>
    <row r="5" spans="1:10" x14ac:dyDescent="0.4">
      <c r="A5" s="21" t="s">
        <v>111</v>
      </c>
      <c r="B5" s="21" t="s">
        <v>112</v>
      </c>
      <c r="C5" s="21" t="s">
        <v>64</v>
      </c>
      <c r="D5" s="21">
        <v>10</v>
      </c>
      <c r="E5" s="21">
        <v>1</v>
      </c>
      <c r="F5" s="21">
        <v>2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 t="str">
        <f t="shared" si="0"/>
        <v>미달성</v>
      </c>
      <c r="J5" s="22" t="str">
        <f t="shared" si="1"/>
        <v>미달성</v>
      </c>
    </row>
    <row r="6" spans="1:10" x14ac:dyDescent="0.4">
      <c r="A6" s="21" t="s">
        <v>113</v>
      </c>
      <c r="B6" s="21" t="s">
        <v>114</v>
      </c>
      <c r="C6" s="21" t="s">
        <v>64</v>
      </c>
      <c r="D6" s="21">
        <v>20</v>
      </c>
      <c r="E6" s="21">
        <v>1</v>
      </c>
      <c r="F6" s="21"/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 t="str">
        <f t="shared" si="0"/>
        <v>미달성</v>
      </c>
      <c r="J6" s="22" t="str">
        <f t="shared" si="1"/>
        <v/>
      </c>
    </row>
    <row r="7" spans="1:10" x14ac:dyDescent="0.4">
      <c r="A7" s="21" t="s">
        <v>115</v>
      </c>
      <c r="B7" s="21" t="s">
        <v>116</v>
      </c>
      <c r="C7" s="21" t="s">
        <v>64</v>
      </c>
      <c r="D7" s="21">
        <v>15</v>
      </c>
      <c r="E7" s="21"/>
      <c r="F7" s="21">
        <v>1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 t="str">
        <f t="shared" si="0"/>
        <v/>
      </c>
      <c r="J7" s="22" t="str">
        <f t="shared" si="1"/>
        <v>미달성</v>
      </c>
    </row>
    <row r="8" spans="1:10" x14ac:dyDescent="0.4">
      <c r="A8" s="21" t="s">
        <v>117</v>
      </c>
      <c r="B8" s="21" t="s">
        <v>112</v>
      </c>
      <c r="C8" s="21" t="s">
        <v>64</v>
      </c>
      <c r="D8" s="21">
        <v>15</v>
      </c>
      <c r="E8" s="21"/>
      <c r="F8" s="21">
        <v>1</v>
      </c>
      <c r="G8" s="22" t="str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/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 t="str">
        <f t="shared" si="0"/>
        <v/>
      </c>
      <c r="J8" s="22" t="str">
        <f t="shared" si="1"/>
        <v>미달성</v>
      </c>
    </row>
    <row r="9" spans="1:10" x14ac:dyDescent="0.4">
      <c r="A9" s="21"/>
      <c r="B9" s="21"/>
      <c r="C9" s="21"/>
      <c r="D9" s="21"/>
      <c r="E9" s="21"/>
      <c r="F9" s="21"/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 t="str">
        <f t="shared" si="0"/>
        <v/>
      </c>
      <c r="J9" s="22" t="str">
        <f t="shared" si="1"/>
        <v/>
      </c>
    </row>
    <row r="10" spans="1:10" x14ac:dyDescent="0.4">
      <c r="A10" s="21"/>
      <c r="B10" s="21"/>
      <c r="C10" s="21"/>
      <c r="D10" s="21"/>
      <c r="E10" s="21"/>
      <c r="F10" s="21"/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2" t="str">
        <f t="shared" si="0"/>
        <v/>
      </c>
      <c r="J10" s="22" t="str">
        <f t="shared" si="1"/>
        <v/>
      </c>
    </row>
    <row r="11" spans="1:10" x14ac:dyDescent="0.4">
      <c r="A11" s="21"/>
      <c r="B11" s="21"/>
      <c r="C11" s="21"/>
      <c r="D11" s="21"/>
      <c r="E11" s="21"/>
      <c r="F11" s="21"/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 t="str">
        <f t="shared" si="0"/>
        <v/>
      </c>
      <c r="J11" s="22" t="str">
        <f t="shared" si="1"/>
        <v/>
      </c>
    </row>
    <row r="12" spans="1:10" x14ac:dyDescent="0.4">
      <c r="A12" s="21"/>
      <c r="B12" s="21"/>
      <c r="C12" s="21"/>
      <c r="D12" s="21"/>
      <c r="E12" s="21"/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 t="str">
        <f t="shared" si="0"/>
        <v/>
      </c>
      <c r="J12" s="22" t="str">
        <f t="shared" si="1"/>
        <v/>
      </c>
    </row>
    <row r="13" spans="1:10" x14ac:dyDescent="0.4">
      <c r="A13" s="21"/>
      <c r="B13" s="21"/>
      <c r="C13" s="21"/>
      <c r="D13" s="21"/>
      <c r="E13" s="21"/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2" t="str">
        <f t="shared" si="0"/>
        <v/>
      </c>
      <c r="J13" s="22" t="str">
        <f t="shared" si="1"/>
        <v/>
      </c>
    </row>
    <row r="14" spans="1:10" x14ac:dyDescent="0.4">
      <c r="A14" s="21"/>
      <c r="B14" s="21"/>
      <c r="C14" s="21"/>
      <c r="D14" s="21"/>
      <c r="E14" s="21"/>
      <c r="F14" s="21"/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 t="str">
        <f t="shared" si="0"/>
        <v/>
      </c>
      <c r="J14" s="22" t="str">
        <f t="shared" si="1"/>
        <v/>
      </c>
    </row>
    <row r="15" spans="1:10" x14ac:dyDescent="0.4">
      <c r="A15" s="21"/>
      <c r="B15" s="21"/>
      <c r="C15" s="21"/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 t="str">
        <f t="shared" si="0"/>
        <v/>
      </c>
      <c r="J15" s="22" t="str">
        <f t="shared" si="1"/>
        <v/>
      </c>
    </row>
    <row r="16" spans="1:10" x14ac:dyDescent="0.4">
      <c r="A16" s="21"/>
      <c r="B16" s="21"/>
      <c r="C16" s="21"/>
      <c r="D16" s="21"/>
      <c r="E16" s="21"/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 t="str">
        <f t="shared" si="0"/>
        <v/>
      </c>
      <c r="J16" s="22" t="str">
        <f t="shared" si="1"/>
        <v/>
      </c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 t="str">
        <f t="shared" si="0"/>
        <v/>
      </c>
      <c r="J17" s="22" t="str">
        <f t="shared" si="1"/>
        <v/>
      </c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 t="str">
        <f t="shared" si="0"/>
        <v/>
      </c>
      <c r="J18" s="22" t="str">
        <f t="shared" si="1"/>
        <v/>
      </c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 t="str">
        <f t="shared" si="0"/>
        <v/>
      </c>
      <c r="J19" s="22" t="str">
        <f t="shared" si="1"/>
        <v/>
      </c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 t="str">
        <f t="shared" si="0"/>
        <v/>
      </c>
      <c r="J20" s="22" t="str">
        <f t="shared" si="1"/>
        <v/>
      </c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 t="str">
        <f t="shared" si="0"/>
        <v/>
      </c>
      <c r="J21" s="22" t="str">
        <f t="shared" si="1"/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 t="str">
        <f t="shared" si="0"/>
        <v/>
      </c>
      <c r="J22" s="22" t="str">
        <f t="shared" si="1"/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 t="str">
        <f t="shared" si="0"/>
        <v/>
      </c>
      <c r="J23" s="22" t="str">
        <f t="shared" si="1"/>
        <v/>
      </c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 t="str">
        <f t="shared" si="0"/>
        <v/>
      </c>
      <c r="J24" s="22" t="str">
        <f t="shared" si="1"/>
        <v/>
      </c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 t="str">
        <f t="shared" si="0"/>
        <v/>
      </c>
      <c r="J25" s="22" t="str">
        <f t="shared" si="1"/>
        <v/>
      </c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 t="str">
        <f t="shared" si="0"/>
        <v/>
      </c>
      <c r="J26" s="22" t="str">
        <f t="shared" si="1"/>
        <v/>
      </c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 t="str">
        <f t="shared" si="0"/>
        <v/>
      </c>
      <c r="J27" s="22" t="str">
        <f t="shared" si="1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 t="str">
        <f t="shared" si="0"/>
        <v/>
      </c>
      <c r="J28" s="22" t="str">
        <f t="shared" si="1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 t="str">
        <f t="shared" si="0"/>
        <v/>
      </c>
      <c r="J29" s="22" t="str">
        <f t="shared" si="1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 t="str">
        <f t="shared" si="0"/>
        <v/>
      </c>
      <c r="J30" s="22" t="str">
        <f t="shared" si="1"/>
        <v/>
      </c>
    </row>
    <row r="31" spans="1:10" x14ac:dyDescent="0.4">
      <c r="A31" s="21" t="s">
        <v>13</v>
      </c>
      <c r="B31" s="21"/>
      <c r="C31" s="21"/>
      <c r="D31" s="21">
        <f>SUM(D3:D30)</f>
        <v>100</v>
      </c>
      <c r="E31" s="21"/>
      <c r="F31" s="21"/>
      <c r="G31" s="22"/>
      <c r="H31" s="22"/>
      <c r="I31" s="22"/>
      <c r="J31" s="23" t="str">
        <f t="shared" ref="J3:J31" si="2">IF(E31="","",
   IF(ISNUMBER(E31),
      IF(N(G31)/E31&gt;=1,"달성","미달성"),
      IF(E31=G31,"달성","미달성")
   )
)</f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J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workbookViewId="0">
      <selection activeCell="A2" sqref="A2:E7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/>
      <c r="B2" s="18"/>
      <c r="C2" s="18"/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2026-06-02T06:55:16Z</dcterms:modified>
  <cp:category/>
  <cp:contentStatus/>
</cp:coreProperties>
</file>