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F8396127-D9D4-42A0-90D4-F100C9138363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22" i="1" s="1"/>
  <c r="J17" i="1"/>
  <c r="K17" i="1"/>
  <c r="E17" i="1" s="1" a="1"/>
  <c r="E17" i="1" s="1"/>
  <c r="L17" i="1"/>
  <c r="L22" i="1" s="1"/>
  <c r="D18" i="1"/>
  <c r="E18" i="1" a="1"/>
  <c r="E18" i="1" s="1"/>
  <c r="J18" i="1"/>
  <c r="K18" i="1"/>
  <c r="L18" i="1"/>
  <c r="M18" i="1"/>
  <c r="D19" i="1"/>
  <c r="J19" i="1"/>
  <c r="J22" i="1" s="1"/>
  <c r="K19" i="1"/>
  <c r="M19" i="1" s="1"/>
  <c r="L19" i="1"/>
  <c r="D20" i="1"/>
  <c r="J20" i="1"/>
  <c r="K20" i="1"/>
  <c r="M20" i="1" s="1"/>
  <c r="L20" i="1"/>
  <c r="D21" i="1"/>
  <c r="E21" i="1" a="1"/>
  <c r="E21" i="1" s="1"/>
  <c r="J21" i="1"/>
  <c r="K21" i="1"/>
  <c r="L21" i="1"/>
  <c r="M21" i="1"/>
  <c r="F22" i="1"/>
  <c r="G22" i="1"/>
  <c r="H22" i="1"/>
  <c r="I22" i="1"/>
  <c r="N22" i="1"/>
  <c r="O22" i="1"/>
  <c r="E19" i="1" l="1" a="1"/>
  <c r="E19" i="1" s="1"/>
  <c r="E20" i="1" a="1"/>
  <c r="E20" i="1" s="1"/>
  <c r="M17" i="1"/>
  <c r="M22" i="1" s="1"/>
  <c r="K22" i="1"/>
  <c r="E22" i="1" s="1" a="1"/>
  <c r="E22" i="1" s="1"/>
  <c r="G4" i="5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<sst xmlns="http://schemas.openxmlformats.org/spreadsheetml/2006/main" count="140" uniqueCount="98">
  <si>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</si>
  <si>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</si>
  <si>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</si>
  <si>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</si>
  <si>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</si>
  <si>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</si>
  <si>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</si>
  <si>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</si>
  <si>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</si>
  <si>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</si>
  <si>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</si>
  <si>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</si>
  <si>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</si>
  <si>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</si>
  <si>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</si>
  <si>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</si>
  <si>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</si>
  <si>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</si>
  <si>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</si>
  <si>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</si>
  <si>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</si>
  <si>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</si>
  <si>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</si>
  <si>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</si>
  <si>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</si>
  <si>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</si>
  <si>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</si>
  <si>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</si>
  <si>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</si>
  <si>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</si>
  <si>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</si>
  <si>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</si>
  <si>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</si>
  <si>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</si>
  <si>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</si>
  <si>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</si>
  <si>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</si>
  <si>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</si>
  <si>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</si>
  <si>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</si>
  <si>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</si>
  <si>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</si>
  <si>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</si>
  <si>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</si>
  <si>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</si>
  <si>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</si>
  <si>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</si>
  <si>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범부처(과학기술정보통신부, 산업통상부, 보건복지부, 식품의약품안전처)</t>
  </si>
  <si>
    <t>재단법인 범부처의료기기연구개발사업단</t>
  </si>
  <si>
    <t>RS-2026-25540444</t>
  </si>
  <si>
    <t>주관(김은영)</t>
  </si>
  <si>
    <t>2026-04-01 - 2029-12-31</t>
  </si>
  <si>
    <t>2026-04-01 - 2026-12-31 (1단계 1연차)</t>
  </si>
  <si>
    <t>IRIS</t>
  </si>
  <si>
    <t>1단계 1,2 / 2단계 1,2</t>
  </si>
  <si>
    <t>1단계 1연차</t>
  </si>
  <si>
    <t>1단계 2연차</t>
  </si>
  <si>
    <t>2단계 1연차</t>
  </si>
  <si>
    <t>2단계 2연차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</si>
  <si>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</si>
  <si>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</si>
  <si>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</si>
  <si>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</si>
  <si>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</si>
  <si>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</si>
  <si>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</si>
  <si>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</si>
  <si>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</si>
  <si>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</si>
  <si>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</si>
  <si>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</si>
  <si>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</si>
  <si>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</si>
  <si>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</si>
  <si>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</si>
  <si>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</si>
  <si>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</si>
  <si>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</si>
  <si>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</si>
  <si>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</si>
  <si>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</si>
  <si>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</si>
  <si>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</si>
  <si>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</si>
  <si>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  <phoneticPr fontId="3" type="noConversion"/>
  </si>
  <si>
    <t>특허 출원건수-국내출원</t>
    <phoneticPr fontId="3" type="noConversion"/>
  </si>
  <si>
    <t>특허 출원건수-국내등록</t>
    <phoneticPr fontId="3" type="noConversion"/>
  </si>
  <si>
    <t>시험제품제작-시험제품(TRL6 단계) 건수</t>
    <phoneticPr fontId="3" type="noConversion"/>
  </si>
  <si>
    <t>임상시험 등록건수</t>
    <phoneticPr fontId="3" type="noConversion"/>
  </si>
  <si>
    <t>품목신고/인증/허가(의료기기)등록 건수</t>
    <phoneticPr fontId="3" type="noConversion"/>
  </si>
  <si>
    <t>건</t>
    <phoneticPr fontId="3" type="noConversion"/>
  </si>
  <si>
    <t>출원증</t>
    <phoneticPr fontId="3" type="noConversion"/>
  </si>
  <si>
    <t>등록증</t>
    <phoneticPr fontId="3" type="noConversion"/>
  </si>
  <si>
    <t>시제품</t>
    <phoneticPr fontId="3" type="noConversion"/>
  </si>
  <si>
    <t>결과보고서</t>
    <phoneticPr fontId="3" type="noConversion"/>
  </si>
  <si>
    <t>논문</t>
    <phoneticPr fontId="3" type="noConversion"/>
  </si>
  <si>
    <t>치료 반응 모니터링 및 예측을 위한 다질환 확장형 AI 뇌영상 분석 플랫폼 개발</t>
    <phoneticPr fontId="3" type="noConversion"/>
  </si>
  <si>
    <t>2026년도 범부처 첨단 의료기기 연구개발사업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</si>
</sst>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tabSelected="1" workbookViewId="0">
      <selection activeCell="C18" sqref="C18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46</v>
      </c>
    </row>
    <row r="2" spans="1:27" ht="15" customHeight="1">
      <c r="A2" s="1" t="s">
        <v>16</v>
      </c>
      <c r="B2" s="2" t="s">
        <v>47</v>
      </c>
    </row>
    <row r="3" spans="1:27" ht="15" customHeight="1">
      <c r="A3" s="1" t="s">
        <v>17</v>
      </c>
      <c r="B3" s="2" t="s">
        <v>48</v>
      </c>
    </row>
    <row r="4" spans="1:27" ht="15" customHeight="1">
      <c r="A4" s="1" t="s">
        <v>18</v>
      </c>
      <c r="B4" s="2" t="s">
        <v>97</v>
      </c>
      <c r="E4" s="2"/>
      <c r="F4" s="2"/>
      <c r="G4" s="2"/>
      <c r="Z4" s="2">
        <f>개요!M19*0.4</f>
        <v>146666800</v>
      </c>
    </row>
    <row r="5" spans="1:27" ht="15" customHeight="1">
      <c r="A5" s="1" t="s">
        <v>19</v>
      </c>
      <c r="B5" s="2" t="s">
        <v>96</v>
      </c>
      <c r="E5" s="2"/>
      <c r="F5" s="2"/>
      <c r="G5" s="2"/>
    </row>
    <row r="6" spans="1:27" ht="15" customHeight="1">
      <c r="A6" s="1" t="s">
        <v>20</v>
      </c>
      <c r="B6" s="2" t="s">
        <v>49</v>
      </c>
      <c r="E6" s="2"/>
      <c r="F6" s="2"/>
      <c r="G6" s="2"/>
    </row>
    <row r="7" spans="1:27" ht="15" customHeight="1">
      <c r="A7" s="1" t="s">
        <v>21</v>
      </c>
      <c r="B7" s="2" t="s">
        <v>50</v>
      </c>
      <c r="E7" s="2"/>
      <c r="F7" s="2"/>
      <c r="G7" s="2"/>
    </row>
    <row r="8" spans="1:27" ht="15" customHeight="1">
      <c r="A8" s="1" t="s">
        <v>22</v>
      </c>
      <c r="B8" s="22" t="s">
        <v>51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52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9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 t="s">
        <v>53</v>
      </c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/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46059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 t="s">
        <v>54</v>
      </c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55</v>
      </c>
      <c r="B17" s="15">
        <v>46113</v>
      </c>
      <c r="C17" s="15">
        <v>46387</v>
      </c>
      <c r="D17" s="50">
        <f>IF(B17="","",DATEDIF(B17,C17,"m")+1)</f>
        <v>9</v>
      </c>
      <c r="E17" s="80" t="e" cm="1">
        <f t="array" ref="E17">SUMPRODUCT(
  (#REF! = $K17) *
  ISNUMBER(MATCH(#REF!, {"인건비","연구활동비","연구재료비","연구시설장비비","연구수당"}, 0))
 *#REF!
)</f>
        <v>#REF!</v>
      </c>
      <c r="F17" s="70">
        <v>150000000</v>
      </c>
      <c r="G17" s="42"/>
      <c r="H17" s="71">
        <v>5000000</v>
      </c>
      <c r="I17" s="43">
        <v>45000000</v>
      </c>
      <c r="J17" s="60">
        <f>H17+I17</f>
        <v>50000000</v>
      </c>
      <c r="K17" s="61">
        <f>SUM(F17,G17,H17)</f>
        <v>155000000</v>
      </c>
      <c r="L17" s="61">
        <f>I17</f>
        <v>45000000</v>
      </c>
      <c r="M17" s="62">
        <f>K17+L17</f>
        <v>200000000</v>
      </c>
      <c r="N17" s="16"/>
      <c r="O17" s="72"/>
    </row>
    <row r="18" spans="1:15" customFormat="1" ht="17.399999999999999">
      <c r="A18" s="73" t="s">
        <v>56</v>
      </c>
      <c r="B18" s="17">
        <v>46388</v>
      </c>
      <c r="C18" s="17">
        <v>46752</v>
      </c>
      <c r="D18" s="51">
        <f>IF(B18="","",DATEDIF(B18,C18,"m")+1)</f>
        <v>12</v>
      </c>
      <c r="E18" s="65" t="e" cm="1">
        <f t="array" ref="E18">SUMPRODUCT(
  (#REF! = $K18) *
  ISNUMBER(MATCH(#REF!, {"인건비","연구활동비","연구재료비","연구시설장비비","연구수당"}, 0))
 *#REF!
)</f>
        <v>#REF!</v>
      </c>
      <c r="F18" s="74">
        <v>250000000</v>
      </c>
      <c r="G18" s="75"/>
      <c r="H18" s="76">
        <v>8334000</v>
      </c>
      <c r="I18" s="2">
        <v>75000000</v>
      </c>
      <c r="J18" s="63">
        <f>H18+I18</f>
        <v>83334000</v>
      </c>
      <c r="K18" s="64">
        <f>SUM(F18,G18,H18)</f>
        <v>258334000</v>
      </c>
      <c r="L18" s="65">
        <f>I18</f>
        <v>75000000</v>
      </c>
      <c r="M18" s="66">
        <f>K18+L18</f>
        <v>333334000</v>
      </c>
      <c r="N18" s="77"/>
      <c r="O18" s="78"/>
    </row>
    <row r="19" spans="1:15" customFormat="1" ht="17.399999999999999">
      <c r="A19" s="14" t="s">
        <v>57</v>
      </c>
      <c r="B19" s="15">
        <v>46753</v>
      </c>
      <c r="C19" s="15">
        <v>47118</v>
      </c>
      <c r="D19" s="50">
        <f>IF(B19="","",DATEDIF(B19,C19,"m")+1)</f>
        <v>12</v>
      </c>
      <c r="E19" s="80" t="e" cm="1">
        <f t="array" ref="E19">SUMPRODUCT(
  (#REF! = $K19) *
  ISNUMBER(MATCH(#REF!, {"인건비","연구활동비","연구재료비","연구시설장비비","연구수당"}, 0))
 *#REF!
)</f>
        <v>#REF!</v>
      </c>
      <c r="F19" s="70">
        <v>275000000</v>
      </c>
      <c r="G19" s="42"/>
      <c r="H19" s="71">
        <v>9167000</v>
      </c>
      <c r="I19" s="43">
        <v>82500000</v>
      </c>
      <c r="J19" s="60">
        <f>H19+I19</f>
        <v>91667000</v>
      </c>
      <c r="K19" s="61">
        <f>SUM(F19,G19,H19)</f>
        <v>284167000</v>
      </c>
      <c r="L19" s="61">
        <f>I19</f>
        <v>82500000</v>
      </c>
      <c r="M19" s="62">
        <f>K19+L19</f>
        <v>366667000</v>
      </c>
      <c r="N19" s="16"/>
      <c r="O19" s="72"/>
    </row>
    <row r="20" spans="1:15" customFormat="1" ht="17.399999999999999">
      <c r="A20" s="73" t="s">
        <v>58</v>
      </c>
      <c r="B20" s="17">
        <v>47119</v>
      </c>
      <c r="C20" s="17">
        <v>47483</v>
      </c>
      <c r="D20" s="51">
        <f>IF(B20="","",DATEDIF(B20,C20,"m")+1)</f>
        <v>12</v>
      </c>
      <c r="E20" s="65" t="e" cm="1">
        <f t="array" ref="E20">SUMPRODUCT(
  (#REF! = $K20) *
  ISNUMBER(MATCH(#REF!, {"인건비","연구활동비","연구재료비","연구시설장비비","연구수당"}, 0))
 *#REF!
)</f>
        <v>#REF!</v>
      </c>
      <c r="F20" s="74">
        <v>295000000</v>
      </c>
      <c r="G20" s="75"/>
      <c r="H20" s="79">
        <v>9834000</v>
      </c>
      <c r="I20" s="44">
        <v>88500000</v>
      </c>
      <c r="J20" s="67">
        <f>H20+I20</f>
        <v>98334000</v>
      </c>
      <c r="K20" s="64">
        <f>SUM(F20,G20,H20)</f>
        <v>304834000</v>
      </c>
      <c r="L20" s="65">
        <f>I20</f>
        <v>88500000</v>
      </c>
      <c r="M20" s="66">
        <f>K20+L20</f>
        <v>393334000</v>
      </c>
      <c r="N20" s="77"/>
      <c r="O20" s="78"/>
    </row>
    <row r="21" spans="1:15" customFormat="1" ht="17.399999999999999">
      <c r="A21" s="45"/>
      <c r="B21" s="18"/>
      <c r="C21" s="18"/>
      <c r="D21" s="50" t="str">
        <f>IF(B21="","",DATEDIF(B21,C21,"m")+1)</f>
        <v/>
      </c>
      <c r="E21" s="80" t="e" cm="1">
        <f t="array" ref="E21">SUMPRODUCT(
  (#REF! = $K21) *
  ISNUMBER(MATCH(#REF!, {"인건비","연구활동비","연구재료비","연구시설장비비","연구수당"}, 0))
 *#REF!
)</f>
        <v>#REF!</v>
      </c>
      <c r="F21" s="46"/>
      <c r="G21" s="47"/>
      <c r="H21" s="48"/>
      <c r="I21" s="49"/>
      <c r="J21" s="68">
        <f>H21+I21</f>
        <v>0</v>
      </c>
      <c r="K21" s="69">
        <f>SUM(F21,G21,H21)</f>
        <v>0</v>
      </c>
      <c r="L21" s="61">
        <f>I21</f>
        <v>0</v>
      </c>
      <c r="M21" s="62">
        <f>K21+L21</f>
        <v>0</v>
      </c>
      <c r="N21" s="16"/>
      <c r="O21" s="72"/>
    </row>
    <row r="22" spans="1:15" customFormat="1" ht="17.399999999999999">
      <c r="A22" s="19" t="s">
        <v>44</v>
      </c>
      <c r="B22" s="20"/>
      <c r="C22" s="21"/>
      <c r="D22" s="52">
        <f>SUM(D17:D21)</f>
        <v>45</v>
      </c>
      <c r="E22" s="53" t="e" cm="1">
        <f t="array" ref="E22">SUMPRODUCT(
  (#REF! = $K22) *
  ISNUMBER(MATCH(#REF!, {"인건비","연구활동비","연구재료비","연구시설장비비","연구수당"}, 0))
 *#REF!
)</f>
        <v>#REF!</v>
      </c>
      <c r="F22" s="54">
        <f>SUM(F17:F21)</f>
        <v>970000000</v>
      </c>
      <c r="G22" s="52">
        <f>SUM(G17:G21)</f>
        <v>0</v>
      </c>
      <c r="H22" s="55">
        <f>SUM(H17:H21)</f>
        <v>32335000</v>
      </c>
      <c r="I22" s="56">
        <f>SUM(I17:I21)</f>
        <v>291000000</v>
      </c>
      <c r="J22" s="57">
        <f>SUM(J17:J21)</f>
        <v>323335000</v>
      </c>
      <c r="K22" s="58">
        <f>SUM(K17:K21)</f>
        <v>1002335000</v>
      </c>
      <c r="L22" s="58">
        <f>SUM(L17:L21)</f>
        <v>291000000</v>
      </c>
      <c r="M22" s="59">
        <f>SUM(M17:M21)</f>
        <v>1293335000</v>
      </c>
      <c r="N22" s="59">
        <f>SUM(N17:N21)</f>
        <v>0</v>
      </c>
      <c r="O22" s="81">
        <f>SUM(O17:O21)</f>
        <v>0</v>
      </c>
    </row>
    <row r="27" spans="1:15" ht="15" customHeight="1">
      <c r="C27" s="31"/>
    </row>
    <row r="28" spans="1:15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zoomScale="115" zoomScaleNormal="115" workbookViewId="0">
      <selection activeCell="B15" sqref="B15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94" t="s">
        <v>29</v>
      </c>
      <c r="E1" s="94"/>
      <c r="F1" s="95" t="s">
        <v>30</v>
      </c>
      <c r="G1" s="95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59</v>
      </c>
      <c r="C3" s="35" t="s">
        <v>55</v>
      </c>
      <c r="D3" s="35">
        <v>46113</v>
      </c>
      <c r="E3" s="35">
        <v>46295</v>
      </c>
      <c r="F3" s="35"/>
      <c r="G3" s="35"/>
    </row>
    <row r="4" spans="1:7">
      <c r="A4" s="41">
        <f>IF(B4&lt;&gt;"",SUBTOTAL(3,$B$3:B4),"")</f>
        <v>2</v>
      </c>
      <c r="B4" s="38" t="s">
        <v>60</v>
      </c>
      <c r="C4" s="35" t="s">
        <v>55</v>
      </c>
      <c r="D4" s="35">
        <v>46113</v>
      </c>
      <c r="E4" s="35">
        <v>46295</v>
      </c>
      <c r="F4" s="35"/>
      <c r="G4" s="35"/>
    </row>
    <row r="5" spans="1:7">
      <c r="A5" s="41">
        <f>IF(B5&lt;&gt;"",SUBTOTAL(3,$B$3:B5),"")</f>
        <v>3</v>
      </c>
      <c r="B5" s="38" t="s">
        <v>61</v>
      </c>
      <c r="C5" s="35" t="s">
        <v>55</v>
      </c>
      <c r="D5" s="35">
        <v>46113</v>
      </c>
      <c r="E5" s="35">
        <v>46203</v>
      </c>
      <c r="F5" s="35"/>
      <c r="G5" s="35"/>
    </row>
    <row r="6" spans="1:7">
      <c r="A6" s="41">
        <f>IF(B6&lt;&gt;"",SUBTOTAL(3,$B$3:B6),"")</f>
        <v>4</v>
      </c>
      <c r="B6" s="38" t="s">
        <v>62</v>
      </c>
      <c r="C6" s="35" t="s">
        <v>55</v>
      </c>
      <c r="D6" s="35">
        <v>46204</v>
      </c>
      <c r="E6" s="35">
        <v>46387</v>
      </c>
      <c r="F6" s="35"/>
      <c r="G6" s="35"/>
    </row>
    <row r="7" spans="1:7">
      <c r="A7" s="41">
        <f>IF(B7&lt;&gt;"",SUBTOTAL(3,$B$3:B7),"")</f>
        <v>5</v>
      </c>
      <c r="B7" s="38" t="s">
        <v>63</v>
      </c>
      <c r="C7" s="35" t="s">
        <v>55</v>
      </c>
      <c r="D7" s="35">
        <v>46235</v>
      </c>
      <c r="E7" s="35">
        <v>46387</v>
      </c>
      <c r="F7" s="35"/>
      <c r="G7" s="35"/>
    </row>
    <row r="8" spans="1:7">
      <c r="A8" s="41">
        <f>IF(B8&lt;&gt;"",SUBTOTAL(3,$B$3:B8),"")</f>
        <v>6</v>
      </c>
      <c r="B8" s="39" t="s">
        <v>64</v>
      </c>
      <c r="C8" s="35" t="s">
        <v>55</v>
      </c>
      <c r="D8" s="35">
        <v>46235</v>
      </c>
      <c r="E8" s="35">
        <v>46387</v>
      </c>
      <c r="F8" s="35"/>
      <c r="G8" s="35"/>
    </row>
    <row r="9" spans="1:7">
      <c r="A9" s="41">
        <f>IF(B9&lt;&gt;"",SUBTOTAL(3,$B$3:B9),"")</f>
        <v>7</v>
      </c>
      <c r="B9" s="39" t="s">
        <v>65</v>
      </c>
      <c r="C9" s="35" t="s">
        <v>55</v>
      </c>
      <c r="D9" s="35">
        <v>46113</v>
      </c>
      <c r="E9" s="35">
        <v>46265</v>
      </c>
      <c r="F9" s="35"/>
      <c r="G9" s="35"/>
    </row>
    <row r="10" spans="1:7">
      <c r="A10" s="41">
        <f>IF(B10&lt;&gt;"",SUBTOTAL(3,$B$3:B10),"")</f>
        <v>8</v>
      </c>
      <c r="B10" s="38" t="s">
        <v>66</v>
      </c>
      <c r="C10" s="35" t="s">
        <v>55</v>
      </c>
      <c r="D10" s="35">
        <v>46266</v>
      </c>
      <c r="E10" s="35">
        <v>46387</v>
      </c>
      <c r="F10" s="35"/>
      <c r="G10" s="35"/>
    </row>
    <row r="11" spans="1:7">
      <c r="A11" s="41">
        <f>IF(B11&lt;&gt;"",SUBTOTAL(3,$B$3:B11),"")</f>
        <v>9</v>
      </c>
      <c r="B11" s="38" t="s">
        <v>67</v>
      </c>
      <c r="C11" s="35" t="s">
        <v>56</v>
      </c>
      <c r="D11" s="35">
        <v>46388</v>
      </c>
      <c r="E11" s="35">
        <v>46752</v>
      </c>
      <c r="F11" s="35"/>
      <c r="G11" s="35"/>
    </row>
    <row r="12" spans="1:7">
      <c r="A12" s="41">
        <f>IF(B12&lt;&gt;"",SUBTOTAL(3,$B$3:B12),"")</f>
        <v>10</v>
      </c>
      <c r="B12" s="38" t="s">
        <v>68</v>
      </c>
      <c r="C12" s="35" t="s">
        <v>56</v>
      </c>
      <c r="D12" s="35">
        <v>46569</v>
      </c>
      <c r="E12" s="35">
        <v>46752</v>
      </c>
      <c r="F12" s="35"/>
      <c r="G12" s="35"/>
    </row>
    <row r="13" spans="1:7">
      <c r="A13" s="41">
        <f>IF(B13&lt;&gt;"",SUBTOTAL(3,$B$3:B13),"")</f>
        <v>11</v>
      </c>
      <c r="B13" s="38" t="s">
        <v>69</v>
      </c>
      <c r="C13" s="35" t="s">
        <v>56</v>
      </c>
      <c r="D13" s="35">
        <v>46388</v>
      </c>
      <c r="E13" s="35">
        <v>46568</v>
      </c>
      <c r="F13" s="35"/>
      <c r="G13" s="35"/>
    </row>
    <row r="14" spans="1:7">
      <c r="A14" s="41">
        <f>IF(B14&lt;&gt;"",SUBTOTAL(3,$B$3:B14),"")</f>
        <v>12</v>
      </c>
      <c r="B14" s="38" t="s">
        <v>70</v>
      </c>
      <c r="C14" s="35" t="s">
        <v>56</v>
      </c>
      <c r="D14" s="35">
        <v>46569</v>
      </c>
      <c r="E14" s="35">
        <v>46568</v>
      </c>
      <c r="F14" s="35"/>
      <c r="G14" s="35"/>
    </row>
    <row r="15" spans="1:7">
      <c r="A15" s="41">
        <f>IF(B15&lt;&gt;"",SUBTOTAL(3,$B$3:B15),"")</f>
        <v>13</v>
      </c>
      <c r="B15" s="38" t="s">
        <v>71</v>
      </c>
      <c r="C15" s="35" t="s">
        <v>56</v>
      </c>
      <c r="D15" s="35">
        <v>46569</v>
      </c>
      <c r="E15" s="35">
        <v>46568</v>
      </c>
      <c r="F15" s="35"/>
      <c r="G15" s="35"/>
    </row>
    <row r="16" spans="1:7">
      <c r="A16" s="41">
        <f>IF(B16&lt;&gt;"",SUBTOTAL(3,$B$3:B16),"")</f>
        <v>14</v>
      </c>
      <c r="B16" s="38" t="s">
        <v>72</v>
      </c>
      <c r="C16" s="35" t="s">
        <v>56</v>
      </c>
      <c r="D16" s="35">
        <v>46478</v>
      </c>
      <c r="E16" s="35">
        <v>46568</v>
      </c>
      <c r="F16" s="35"/>
      <c r="G16" s="35"/>
    </row>
    <row r="17" spans="1:7">
      <c r="A17" s="41">
        <f>IF(B17&lt;&gt;"",SUBTOTAL(3,$B$3:B17),"")</f>
        <v>15</v>
      </c>
      <c r="B17" s="40" t="s">
        <v>73</v>
      </c>
      <c r="C17" s="35" t="s">
        <v>56</v>
      </c>
      <c r="D17" s="35">
        <v>46661</v>
      </c>
      <c r="E17" s="35">
        <v>46752</v>
      </c>
      <c r="F17" s="35"/>
      <c r="G17" s="35"/>
    </row>
    <row r="18" spans="1:7">
      <c r="A18" s="41">
        <f>IF(B18&lt;&gt;"",SUBTOTAL(3,$B$3:B18),"")</f>
        <v>16</v>
      </c>
      <c r="B18" s="40" t="s">
        <v>74</v>
      </c>
      <c r="C18" s="35" t="s">
        <v>56</v>
      </c>
      <c r="D18" s="35">
        <v>46569</v>
      </c>
      <c r="E18" s="35">
        <v>46752</v>
      </c>
      <c r="F18" s="35"/>
      <c r="G18" s="35"/>
    </row>
    <row r="19" spans="1:7">
      <c r="A19" s="41">
        <f>IF(B19&lt;&gt;"",SUBTOTAL(3,$B$3:B19),"")</f>
        <v>17</v>
      </c>
      <c r="B19" s="40" t="s">
        <v>75</v>
      </c>
      <c r="C19" s="35" t="s">
        <v>57</v>
      </c>
      <c r="D19" s="35">
        <v>46753</v>
      </c>
      <c r="E19" s="35">
        <v>46934</v>
      </c>
      <c r="F19" s="35"/>
      <c r="G19" s="35"/>
    </row>
    <row r="20" spans="1:7">
      <c r="A20" s="41">
        <f>IF(B20&lt;&gt;"",SUBTOTAL(3,$B$3:B20),"")</f>
        <v>18</v>
      </c>
      <c r="B20" s="40" t="s">
        <v>76</v>
      </c>
      <c r="C20" s="35" t="s">
        <v>57</v>
      </c>
      <c r="D20" s="35">
        <v>46753</v>
      </c>
      <c r="E20" s="35">
        <v>47118</v>
      </c>
      <c r="F20" s="35"/>
      <c r="G20" s="35"/>
    </row>
    <row r="21" spans="1:7">
      <c r="A21" s="41">
        <f>IF(B21&lt;&gt;"",SUBTOTAL(3,$B$3:B21),"")</f>
        <v>19</v>
      </c>
      <c r="B21" s="40" t="s">
        <v>77</v>
      </c>
      <c r="C21" s="35" t="s">
        <v>57</v>
      </c>
      <c r="D21" s="35">
        <v>46753</v>
      </c>
      <c r="E21" s="35">
        <v>46843</v>
      </c>
      <c r="F21" s="35"/>
      <c r="G21" s="35"/>
    </row>
    <row r="22" spans="1:7">
      <c r="A22" s="41">
        <f>IF(B22&lt;&gt;"",SUBTOTAL(3,$B$3:B22),"")</f>
        <v>20</v>
      </c>
      <c r="B22" s="40" t="s">
        <v>78</v>
      </c>
      <c r="C22" s="35" t="s">
        <v>57</v>
      </c>
      <c r="D22" s="35">
        <v>46753</v>
      </c>
      <c r="E22" s="35">
        <v>47118</v>
      </c>
      <c r="F22" s="35"/>
      <c r="G22" s="35"/>
    </row>
    <row r="23" spans="1:7">
      <c r="A23" s="41">
        <f>IF(B23&lt;&gt;"",SUBTOTAL(3,$B$3:B23),"")</f>
        <v>21</v>
      </c>
      <c r="B23" s="40" t="s">
        <v>79</v>
      </c>
      <c r="C23" s="35" t="s">
        <v>57</v>
      </c>
      <c r="D23" s="35">
        <v>46935</v>
      </c>
      <c r="E23" s="35">
        <v>47118</v>
      </c>
      <c r="F23" s="35"/>
      <c r="G23" s="35"/>
    </row>
    <row r="24" spans="1:7">
      <c r="A24" s="41">
        <f>IF(B24&lt;&gt;"",SUBTOTAL(3,$B$3:B24),"")</f>
        <v>22</v>
      </c>
      <c r="B24" s="40" t="s">
        <v>80</v>
      </c>
      <c r="C24" s="35" t="s">
        <v>58</v>
      </c>
      <c r="D24" s="35">
        <v>47119</v>
      </c>
      <c r="E24" s="35">
        <v>47483</v>
      </c>
      <c r="F24" s="35"/>
      <c r="G24" s="35"/>
    </row>
    <row r="25" spans="1:7">
      <c r="A25" s="41">
        <f>IF(B25&lt;&gt;"",SUBTOTAL(3,$B$3:B25),"")</f>
        <v>23</v>
      </c>
      <c r="B25" s="40" t="s">
        <v>81</v>
      </c>
      <c r="C25" s="35" t="s">
        <v>58</v>
      </c>
      <c r="D25" s="35">
        <v>47119</v>
      </c>
      <c r="E25" s="35">
        <v>47483</v>
      </c>
      <c r="F25" s="35"/>
      <c r="G25" s="35"/>
    </row>
    <row r="26" spans="1:7">
      <c r="A26" s="41">
        <f>IF(B26&lt;&gt;"",SUBTOTAL(3,$B$3:B26),"")</f>
        <v>24</v>
      </c>
      <c r="B26" s="40" t="s">
        <v>82</v>
      </c>
      <c r="C26" s="35" t="s">
        <v>58</v>
      </c>
      <c r="D26" s="35">
        <v>47300</v>
      </c>
      <c r="E26" s="35">
        <v>47483</v>
      </c>
      <c r="F26" s="35"/>
      <c r="G26" s="35"/>
    </row>
    <row r="27" spans="1:7">
      <c r="A27" s="41">
        <f>IF(B27&lt;&gt;"",SUBTOTAL(3,$B$3:B27),"")</f>
        <v>25</v>
      </c>
      <c r="B27" s="40" t="s">
        <v>83</v>
      </c>
      <c r="C27" s="35" t="s">
        <v>58</v>
      </c>
      <c r="D27" s="35">
        <v>47209</v>
      </c>
      <c r="E27" s="35">
        <v>47483</v>
      </c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4" sqref="A4"/>
    </sheetView>
  </sheetViews>
  <sheetFormatPr defaultRowHeight="17.399999999999999"/>
  <cols>
    <col min="1" max="1" width="54.59765625" style="90" bestFit="1" customWidth="1"/>
    <col min="2" max="16384" width="8.796875" style="82"/>
  </cols>
  <sheetData>
    <row r="1" spans="1:10" ht="17.399999999999999" customHeight="1">
      <c r="A1" s="96" t="s">
        <v>34</v>
      </c>
      <c r="B1" s="96" t="s">
        <v>35</v>
      </c>
      <c r="C1" s="96" t="s">
        <v>36</v>
      </c>
      <c r="D1" s="96" t="s">
        <v>37</v>
      </c>
      <c r="E1" s="99" t="s">
        <v>43</v>
      </c>
      <c r="F1" s="100"/>
      <c r="G1" s="99" t="s">
        <v>42</v>
      </c>
      <c r="H1" s="100"/>
      <c r="I1" s="98" t="s">
        <v>39</v>
      </c>
      <c r="J1" s="98"/>
    </row>
    <row r="2" spans="1:10">
      <c r="A2" s="97"/>
      <c r="B2" s="97"/>
      <c r="C2" s="97"/>
      <c r="D2" s="97"/>
      <c r="E2" s="91" t="s">
        <v>56</v>
      </c>
      <c r="F2" s="91" t="s">
        <v>58</v>
      </c>
      <c r="G2" s="91" t="s">
        <v>56</v>
      </c>
      <c r="H2" s="91" t="s">
        <v>58</v>
      </c>
      <c r="I2" s="91" t="s">
        <v>56</v>
      </c>
      <c r="J2" s="91" t="s">
        <v>58</v>
      </c>
    </row>
    <row r="3" spans="1:10">
      <c r="A3" s="89" t="s">
        <v>84</v>
      </c>
      <c r="B3" s="83" t="s">
        <v>95</v>
      </c>
      <c r="C3" s="83" t="s">
        <v>90</v>
      </c>
      <c r="D3" s="83">
        <v>25</v>
      </c>
      <c r="E3" s="83">
        <v>1</v>
      </c>
      <c r="F3" s="83">
        <v>1</v>
      </c>
      <c r="G3" s="84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84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85" t="str">
        <f t="shared" ref="I3:I13" si="0">IF(E3="","",
   IF(ISNUMBER(E3),
      IF(N(G3)/E3&gt;=1,"달성","미달성"),
      IF(E3=G3,"달성","미달성")
   )
)</f>
        <v>미달성</v>
      </c>
      <c r="J3" s="85" t="str">
        <f t="shared" ref="J3:J13" si="1">IF(F3="","",
   IF(ISNUMBER(F3),
      IF(N(H3)/F3&gt;=1,"달성","미달성"),
      IF(F3=H3,"달성","미달성")
   )
)</f>
        <v>미달성</v>
      </c>
    </row>
    <row r="4" spans="1:10">
      <c r="A4" s="89" t="s">
        <v>85</v>
      </c>
      <c r="B4" s="83" t="s">
        <v>91</v>
      </c>
      <c r="C4" s="83" t="s">
        <v>90</v>
      </c>
      <c r="D4" s="83">
        <v>15</v>
      </c>
      <c r="E4" s="83">
        <v>1</v>
      </c>
      <c r="F4" s="83">
        <v>2</v>
      </c>
      <c r="G4" s="84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84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5" t="str">
        <f t="shared" si="0"/>
        <v>미달성</v>
      </c>
      <c r="J4" s="85" t="str">
        <f t="shared" si="1"/>
        <v>미달성</v>
      </c>
    </row>
    <row r="5" spans="1:10">
      <c r="A5" s="89" t="s">
        <v>86</v>
      </c>
      <c r="B5" s="83" t="s">
        <v>92</v>
      </c>
      <c r="C5" s="83" t="s">
        <v>90</v>
      </c>
      <c r="D5" s="83">
        <v>10</v>
      </c>
      <c r="E5" s="83">
        <v>1</v>
      </c>
      <c r="F5" s="83">
        <v>2</v>
      </c>
      <c r="G5" s="84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84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5" t="str">
        <f t="shared" si="0"/>
        <v>미달성</v>
      </c>
      <c r="J5" s="85" t="str">
        <f t="shared" si="1"/>
        <v>미달성</v>
      </c>
    </row>
    <row r="6" spans="1:10">
      <c r="A6" s="89" t="s">
        <v>87</v>
      </c>
      <c r="B6" s="83" t="s">
        <v>93</v>
      </c>
      <c r="C6" s="83" t="s">
        <v>90</v>
      </c>
      <c r="D6" s="83">
        <v>20</v>
      </c>
      <c r="E6" s="83">
        <v>1</v>
      </c>
      <c r="F6" s="83"/>
      <c r="G6" s="84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84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5" t="str">
        <f t="shared" si="0"/>
        <v>미달성</v>
      </c>
      <c r="J6" s="85" t="str">
        <f t="shared" si="1"/>
        <v/>
      </c>
    </row>
    <row r="7" spans="1:10">
      <c r="A7" s="89" t="s">
        <v>88</v>
      </c>
      <c r="B7" s="83" t="s">
        <v>94</v>
      </c>
      <c r="C7" s="83" t="s">
        <v>90</v>
      </c>
      <c r="D7" s="83">
        <v>15</v>
      </c>
      <c r="E7" s="83"/>
      <c r="F7" s="83">
        <v>1</v>
      </c>
      <c r="G7" s="84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84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5" t="str">
        <f t="shared" si="0"/>
        <v/>
      </c>
      <c r="J7" s="85" t="str">
        <f t="shared" si="1"/>
        <v>미달성</v>
      </c>
    </row>
    <row r="8" spans="1:10">
      <c r="A8" s="89" t="s">
        <v>89</v>
      </c>
      <c r="B8" s="83" t="s">
        <v>92</v>
      </c>
      <c r="C8" s="83" t="s">
        <v>90</v>
      </c>
      <c r="D8" s="83">
        <v>15</v>
      </c>
      <c r="E8" s="83"/>
      <c r="F8" s="83">
        <v>1</v>
      </c>
      <c r="G8" s="84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84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5" t="str">
        <f t="shared" si="0"/>
        <v/>
      </c>
      <c r="J8" s="85" t="str">
        <f t="shared" si="1"/>
        <v>미달성</v>
      </c>
    </row>
    <row r="9" spans="1:10">
      <c r="A9" s="89"/>
      <c r="B9" s="83"/>
      <c r="C9" s="83"/>
      <c r="D9" s="83"/>
      <c r="E9" s="83"/>
      <c r="F9" s="83"/>
      <c r="G9" s="84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84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5" t="str">
        <f t="shared" si="0"/>
        <v/>
      </c>
      <c r="J9" s="85" t="str">
        <f t="shared" si="1"/>
        <v/>
      </c>
    </row>
    <row r="10" spans="1:10">
      <c r="A10" s="89"/>
      <c r="B10" s="83"/>
      <c r="C10" s="83"/>
      <c r="D10" s="83"/>
      <c r="E10" s="83"/>
      <c r="F10" s="83"/>
      <c r="G10" s="84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84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85" t="str">
        <f t="shared" si="0"/>
        <v/>
      </c>
      <c r="J10" s="85" t="str">
        <f t="shared" si="1"/>
        <v/>
      </c>
    </row>
    <row r="11" spans="1:10">
      <c r="A11" s="89"/>
      <c r="B11" s="83"/>
      <c r="C11" s="83"/>
      <c r="D11" s="83"/>
      <c r="E11" s="83"/>
      <c r="F11" s="83"/>
      <c r="G11" s="84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84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5" t="str">
        <f t="shared" si="0"/>
        <v/>
      </c>
      <c r="J11" s="85" t="str">
        <f t="shared" si="1"/>
        <v/>
      </c>
    </row>
    <row r="12" spans="1:10">
      <c r="A12" s="89"/>
      <c r="B12" s="83"/>
      <c r="C12" s="83"/>
      <c r="D12" s="83"/>
      <c r="E12" s="83"/>
      <c r="F12" s="83"/>
      <c r="G12" s="84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84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5" t="str">
        <f t="shared" si="0"/>
        <v/>
      </c>
      <c r="J12" s="85" t="str">
        <f t="shared" si="1"/>
        <v/>
      </c>
    </row>
    <row r="13" spans="1:10">
      <c r="A13" s="89"/>
      <c r="B13" s="83"/>
      <c r="C13" s="83"/>
      <c r="D13" s="83"/>
      <c r="E13" s="83"/>
      <c r="F13" s="83"/>
      <c r="G13" s="84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84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5" t="str">
        <f t="shared" si="0"/>
        <v/>
      </c>
      <c r="J13" s="85" t="str">
        <f t="shared" si="1"/>
        <v/>
      </c>
    </row>
    <row r="14" spans="1:10">
      <c r="A14" s="89"/>
      <c r="B14" s="83"/>
      <c r="C14" s="83"/>
      <c r="D14" s="83"/>
      <c r="E14" s="83"/>
      <c r="F14" s="83"/>
      <c r="G14" s="84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84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5"/>
      <c r="J14" s="85"/>
    </row>
    <row r="15" spans="1:10">
      <c r="A15" s="89"/>
      <c r="B15" s="83"/>
      <c r="C15" s="83"/>
      <c r="D15" s="83"/>
      <c r="E15" s="83"/>
      <c r="F15" s="83"/>
      <c r="G15" s="84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84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5"/>
      <c r="J15" s="85"/>
    </row>
    <row r="16" spans="1:10">
      <c r="A16" s="89"/>
      <c r="B16" s="83"/>
      <c r="C16" s="83"/>
      <c r="D16" s="83"/>
      <c r="E16" s="83"/>
      <c r="F16" s="83"/>
      <c r="G16" s="84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84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5"/>
      <c r="J16" s="85"/>
    </row>
    <row r="17" spans="1:10">
      <c r="A17" s="89"/>
      <c r="B17" s="83"/>
      <c r="C17" s="83"/>
      <c r="D17" s="83"/>
      <c r="E17" s="83"/>
      <c r="F17" s="83"/>
      <c r="G17" s="84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84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5"/>
      <c r="J17" s="85"/>
    </row>
    <row r="18" spans="1:10">
      <c r="A18" s="89"/>
      <c r="B18" s="83"/>
      <c r="C18" s="83"/>
      <c r="D18" s="83"/>
      <c r="E18" s="83"/>
      <c r="F18" s="83"/>
      <c r="G18" s="84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84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5"/>
      <c r="J18" s="85"/>
    </row>
    <row r="19" spans="1:10">
      <c r="A19" s="89"/>
      <c r="B19" s="83"/>
      <c r="C19" s="83"/>
      <c r="D19" s="83"/>
      <c r="E19" s="83"/>
      <c r="F19" s="83"/>
      <c r="G19" s="84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84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5"/>
      <c r="J19" s="85"/>
    </row>
    <row r="20" spans="1:10">
      <c r="A20" s="89"/>
      <c r="B20" s="83"/>
      <c r="C20" s="83"/>
      <c r="D20" s="83"/>
      <c r="E20" s="83"/>
      <c r="F20" s="83"/>
      <c r="G20" s="84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84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5"/>
      <c r="J20" s="85"/>
    </row>
    <row r="21" spans="1:10">
      <c r="A21" s="89"/>
      <c r="B21" s="83"/>
      <c r="C21" s="83"/>
      <c r="D21" s="83"/>
      <c r="E21" s="83"/>
      <c r="F21" s="83"/>
      <c r="G21" s="84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84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5" t="str">
        <f>IF(E21="","",
   IF(ISNUMBER(E21),
      IF(N(G21)/E21&gt;=1,"달성","미달성"),
      IF(E21=G21,"달성","미달성")
   )
)</f>
        <v/>
      </c>
      <c r="J21" s="85" t="str">
        <f>IF(F21="","",
   IF(ISNUMBER(F21),
      IF(N(H21)/F21&gt;=1,"달성","미달성"),
      IF(F21=H21,"달성","미달성")
   )
)</f>
        <v/>
      </c>
    </row>
    <row r="22" spans="1:10">
      <c r="A22" s="89"/>
      <c r="B22" s="83"/>
      <c r="C22" s="83"/>
      <c r="D22" s="83"/>
      <c r="E22" s="83"/>
      <c r="F22" s="83"/>
      <c r="G22" s="84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84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5" t="str">
        <f>IF(E22="","",
   IF(ISNUMBER(E22),
      IF(N(G22)/E22&gt;=1,"달성","미달성"),
      IF(E22=G22,"달성","미달성")
   )
)</f>
        <v/>
      </c>
      <c r="J22" s="85" t="str">
        <f>IF(F22="","",
   IF(ISNUMBER(F22),
      IF(N(H22)/F22&gt;=1,"달성","미달성"),
      IF(F22=H22,"달성","미달성")
   )
)</f>
        <v/>
      </c>
    </row>
    <row r="23" spans="1:10">
      <c r="A23" s="89"/>
      <c r="B23" s="83"/>
      <c r="C23" s="83"/>
      <c r="D23" s="83"/>
      <c r="E23" s="83"/>
      <c r="F23" s="83"/>
      <c r="G23" s="84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84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5"/>
      <c r="J23" s="85"/>
    </row>
    <row r="24" spans="1:10">
      <c r="A24" s="89"/>
      <c r="B24" s="83"/>
      <c r="C24" s="83"/>
      <c r="D24" s="83"/>
      <c r="E24" s="83"/>
      <c r="F24" s="83"/>
      <c r="G24" s="84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84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5"/>
      <c r="J24" s="85"/>
    </row>
    <row r="25" spans="1:10">
      <c r="A25" s="89"/>
      <c r="B25" s="83"/>
      <c r="C25" s="83"/>
      <c r="D25" s="83"/>
      <c r="E25" s="83"/>
      <c r="F25" s="83"/>
      <c r="G25" s="84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84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5"/>
      <c r="J25" s="85"/>
    </row>
    <row r="26" spans="1:10">
      <c r="A26" s="89"/>
      <c r="B26" s="83"/>
      <c r="C26" s="83"/>
      <c r="D26" s="83"/>
      <c r="E26" s="83"/>
      <c r="F26" s="83"/>
      <c r="G26" s="84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84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5"/>
      <c r="J26" s="85"/>
    </row>
    <row r="27" spans="1:10">
      <c r="A27" s="89"/>
      <c r="B27" s="83"/>
      <c r="C27" s="83"/>
      <c r="D27" s="83"/>
      <c r="E27" s="83"/>
      <c r="F27" s="83"/>
      <c r="G27" s="84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84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5" t="str">
        <f t="shared" ref="I27:J31" si="2">IF(E27="","",
   IF(ISNUMBER(E27),
      IF(N(G27)/E27&gt;=1,"달성","미달성"),
      IF(E27=G27,"달성","미달성")
   )
)</f>
        <v/>
      </c>
      <c r="J27" s="85" t="str">
        <f t="shared" si="2"/>
        <v/>
      </c>
    </row>
    <row r="28" spans="1:10">
      <c r="A28" s="89"/>
      <c r="B28" s="83"/>
      <c r="C28" s="83"/>
      <c r="D28" s="83"/>
      <c r="E28" s="83"/>
      <c r="F28" s="83"/>
      <c r="G28" s="84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84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5" t="str">
        <f t="shared" si="2"/>
        <v/>
      </c>
      <c r="J28" s="85" t="str">
        <f t="shared" si="2"/>
        <v/>
      </c>
    </row>
    <row r="29" spans="1:10">
      <c r="A29" s="89"/>
      <c r="B29" s="83"/>
      <c r="C29" s="83"/>
      <c r="D29" s="83"/>
      <c r="E29" s="83"/>
      <c r="F29" s="83"/>
      <c r="G29" s="84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84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5" t="str">
        <f t="shared" si="2"/>
        <v/>
      </c>
      <c r="J29" s="85" t="str">
        <f t="shared" si="2"/>
        <v/>
      </c>
    </row>
    <row r="30" spans="1:10">
      <c r="A30" s="89"/>
      <c r="B30" s="83"/>
      <c r="C30" s="83"/>
      <c r="D30" s="83"/>
      <c r="E30" s="83"/>
      <c r="F30" s="83"/>
      <c r="G30" s="84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84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5" t="str">
        <f t="shared" si="2"/>
        <v/>
      </c>
      <c r="J30" s="85" t="str">
        <f t="shared" si="2"/>
        <v/>
      </c>
    </row>
    <row r="31" spans="1:10">
      <c r="A31" s="89" t="s">
        <v>40</v>
      </c>
      <c r="B31" s="83"/>
      <c r="C31" s="83"/>
      <c r="D31" s="83">
        <f>SUM(D3:D30)</f>
        <v>100</v>
      </c>
      <c r="E31" s="83"/>
      <c r="F31" s="83"/>
      <c r="G31" s="84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84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85" t="str">
        <f t="shared" si="2"/>
        <v/>
      </c>
      <c r="J31" s="85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3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1"/>
  <sheetViews>
    <sheetView topLeftCell="A4" zoomScaleNormal="100" workbookViewId="0">
      <selection activeCell="A16" sqref="A16"/>
    </sheetView>
  </sheetViews>
  <sheetFormatPr defaultRowHeight="10.8"/>
  <cols>
    <col min="1" max="1" width="54.59765625" style="93" bestFit="1" customWidth="1"/>
    <col min="2" max="2" width="11.296875" style="88" bestFit="1" customWidth="1"/>
    <col min="3" max="3" width="9.09765625" style="88" bestFit="1" customWidth="1"/>
    <col min="4" max="4" width="8.5" style="88" bestFit="1" customWidth="1"/>
    <col min="5" max="16384" width="8.796875" style="88"/>
  </cols>
  <sheetData>
    <row r="1" spans="1:4" ht="19.95" customHeight="1">
      <c r="A1" s="87" t="s">
        <v>45</v>
      </c>
      <c r="B1" s="87" t="s">
        <v>41</v>
      </c>
      <c r="C1" s="87" t="s">
        <v>42</v>
      </c>
      <c r="D1" s="87" t="s">
        <v>38</v>
      </c>
    </row>
    <row r="2" spans="1:4" ht="19.95" customHeight="1">
      <c r="A2" s="92"/>
      <c r="B2" s="86"/>
      <c r="C2" s="86"/>
      <c r="D2" s="86"/>
    </row>
    <row r="3" spans="1:4" ht="19.95" customHeight="1">
      <c r="A3" s="92"/>
      <c r="B3" s="86"/>
      <c r="C3" s="86"/>
      <c r="D3" s="86"/>
    </row>
    <row r="4" spans="1:4" ht="19.95" customHeight="1">
      <c r="A4" s="92"/>
      <c r="B4" s="86"/>
      <c r="C4" s="86"/>
      <c r="D4" s="86"/>
    </row>
    <row r="5" spans="1:4" ht="19.95" customHeight="1">
      <c r="A5" s="92"/>
      <c r="B5" s="86"/>
      <c r="C5" s="86"/>
      <c r="D5" s="86"/>
    </row>
    <row r="6" spans="1:4" ht="19.95" customHeight="1">
      <c r="A6" s="92"/>
      <c r="B6" s="86"/>
      <c r="C6" s="86"/>
      <c r="D6" s="86"/>
    </row>
    <row r="7" spans="1:4" ht="19.95" customHeight="1">
      <c r="A7" s="92"/>
      <c r="B7" s="86"/>
      <c r="C7" s="86"/>
      <c r="D7" s="86"/>
    </row>
    <row r="8" spans="1:4" ht="19.95" customHeight="1">
      <c r="A8" s="92"/>
      <c r="B8" s="86"/>
      <c r="C8" s="86"/>
      <c r="D8" s="86"/>
    </row>
    <row r="9" spans="1:4" ht="19.95" customHeight="1">
      <c r="A9" s="92"/>
      <c r="B9" s="86"/>
      <c r="C9" s="86"/>
      <c r="D9" s="86"/>
    </row>
    <row r="10" spans="1:4" ht="19.95" customHeight="1">
      <c r="A10" s="92"/>
      <c r="B10" s="86"/>
      <c r="C10" s="86"/>
      <c r="D10" s="86"/>
    </row>
    <row r="11" spans="1:4" ht="19.95" customHeight="1">
      <c r="A11" s="92"/>
      <c r="B11" s="86"/>
      <c r="C11" s="86"/>
      <c r="D11" s="86"/>
    </row>
    <row r="12" spans="1:4" ht="19.95" customHeight="1">
      <c r="A12" s="92"/>
      <c r="B12" s="86"/>
      <c r="C12" s="86"/>
      <c r="D12" s="86"/>
    </row>
    <row r="13" spans="1:4" ht="19.95" customHeight="1">
      <c r="A13" s="92"/>
      <c r="B13" s="86"/>
      <c r="C13" s="86"/>
      <c r="D13" s="86"/>
    </row>
    <row r="14" spans="1:4" ht="19.95" customHeight="1">
      <c r="A14" s="92"/>
      <c r="B14" s="86"/>
      <c r="C14" s="86"/>
      <c r="D14" s="86"/>
    </row>
    <row r="15" spans="1:4" ht="19.95" customHeight="1">
      <c r="A15" s="92"/>
      <c r="B15" s="86"/>
      <c r="C15" s="86"/>
      <c r="D15" s="86"/>
    </row>
    <row r="16" spans="1:4" ht="19.95" customHeight="1">
      <c r="A16" s="92"/>
      <c r="B16" s="86"/>
      <c r="C16" s="86"/>
      <c r="D16" s="86"/>
    </row>
    <row r="17" spans="1:4" ht="19.95" customHeight="1">
      <c r="A17" s="92"/>
      <c r="B17" s="86"/>
      <c r="C17" s="86"/>
      <c r="D17" s="86"/>
    </row>
    <row r="18" spans="1:4" ht="19.95" customHeight="1">
      <c r="A18" s="92"/>
      <c r="B18" s="86"/>
      <c r="C18" s="86"/>
      <c r="D18" s="86"/>
    </row>
    <row r="19" spans="1:4" ht="19.95" customHeight="1">
      <c r="A19" s="92"/>
      <c r="B19" s="86"/>
      <c r="C19" s="86"/>
      <c r="D19" s="86"/>
    </row>
    <row r="20" spans="1:4" ht="19.95" customHeight="1">
      <c r="A20" s="92"/>
      <c r="B20" s="86"/>
      <c r="C20" s="86"/>
      <c r="D20" s="86"/>
    </row>
    <row r="21" spans="1:4" ht="19.95" customHeight="1">
      <c r="A21" s="92"/>
      <c r="B21" s="86"/>
      <c r="C21" s="86"/>
      <c r="D21" s="86"/>
    </row>
    <row r="22" spans="1:4" ht="19.95" customHeight="1">
      <c r="A22" s="92"/>
      <c r="B22" s="86"/>
      <c r="C22" s="86"/>
      <c r="D22" s="86"/>
    </row>
    <row r="23" spans="1:4" ht="19.95" customHeight="1">
      <c r="A23" s="92"/>
      <c r="B23" s="86"/>
      <c r="C23" s="86"/>
      <c r="D23" s="86"/>
    </row>
    <row r="24" spans="1:4" ht="19.95" customHeight="1">
      <c r="A24" s="92"/>
      <c r="B24" s="86"/>
      <c r="C24" s="86"/>
      <c r="D24" s="86"/>
    </row>
    <row r="25" spans="1:4" ht="19.95" customHeight="1">
      <c r="A25" s="92"/>
      <c r="B25" s="86"/>
      <c r="C25" s="86"/>
      <c r="D25" s="86"/>
    </row>
    <row r="26" spans="1:4" ht="19.95" customHeight="1">
      <c r="A26" s="92"/>
      <c r="B26" s="86"/>
      <c r="C26" s="86"/>
      <c r="D26" s="86"/>
    </row>
    <row r="27" spans="1:4" ht="19.95" customHeight="1">
      <c r="A27" s="92"/>
      <c r="B27" s="86"/>
      <c r="C27" s="86"/>
      <c r="D27" s="86"/>
    </row>
    <row r="28" spans="1:4" ht="19.95" customHeight="1">
      <c r="A28" s="92"/>
      <c r="B28" s="86"/>
      <c r="C28" s="86"/>
      <c r="D28" s="86"/>
    </row>
    <row r="29" spans="1:4" ht="19.95" customHeight="1">
      <c r="A29" s="92"/>
      <c r="B29" s="86"/>
      <c r="C29" s="86"/>
      <c r="D29" s="86"/>
    </row>
    <row r="30" spans="1:4" ht="19.95" customHeight="1">
      <c r="A30" s="92"/>
      <c r="B30" s="86"/>
      <c r="C30" s="86"/>
      <c r="D30" s="86"/>
    </row>
    <row r="31" spans="1:4" ht="19.95" customHeight="1">
      <c r="A31" s="92"/>
      <c r="B31" s="86"/>
      <c r="C31" s="86"/>
      <c r="D31" s="86"/>
    </row>
    <row r="32" spans="1:4" ht="19.95" customHeight="1">
      <c r="A32" s="92"/>
      <c r="B32" s="86"/>
      <c r="C32" s="86"/>
      <c r="D32" s="86"/>
    </row>
    <row r="33" spans="1:4" ht="19.95" customHeight="1">
      <c r="A33" s="92"/>
      <c r="B33" s="86"/>
      <c r="C33" s="86"/>
      <c r="D33" s="86"/>
    </row>
    <row r="34" spans="1:4" ht="19.95" customHeight="1">
      <c r="A34" s="92"/>
      <c r="B34" s="86"/>
      <c r="C34" s="86"/>
      <c r="D34" s="86"/>
    </row>
    <row r="35" spans="1:4" ht="19.95" customHeight="1">
      <c r="A35" s="92"/>
      <c r="B35" s="86"/>
      <c r="C35" s="86"/>
      <c r="D35" s="86"/>
    </row>
    <row r="36" spans="1:4" ht="19.95" customHeight="1">
      <c r="A36" s="92"/>
      <c r="B36" s="86"/>
      <c r="C36" s="86"/>
      <c r="D36" s="86"/>
    </row>
    <row r="37" spans="1:4" ht="19.95" customHeight="1">
      <c r="A37" s="92"/>
      <c r="B37" s="86"/>
      <c r="C37" s="86"/>
      <c r="D37" s="86"/>
    </row>
    <row r="38" spans="1:4" ht="19.95" customHeight="1">
      <c r="A38" s="92"/>
      <c r="B38" s="86"/>
      <c r="C38" s="86"/>
      <c r="D38" s="86"/>
    </row>
    <row r="39" spans="1:4" ht="19.95" customHeight="1">
      <c r="A39" s="92"/>
      <c r="B39" s="86"/>
      <c r="C39" s="86"/>
      <c r="D39" s="86"/>
    </row>
    <row r="40" spans="1:4" ht="19.95" customHeight="1">
      <c r="A40" s="92"/>
      <c r="B40" s="86"/>
      <c r="C40" s="86"/>
      <c r="D40" s="86"/>
    </row>
    <row r="41" spans="1:4" ht="19.95" customHeight="1">
      <c r="A41" s="92"/>
      <c r="B41" s="86"/>
      <c r="C41" s="86"/>
      <c r="D41" s="86"/>
    </row>
    <row r="42" spans="1:4" ht="19.95" customHeight="1">
      <c r="A42" s="92"/>
      <c r="B42" s="86"/>
      <c r="C42" s="86"/>
      <c r="D42" s="86"/>
    </row>
    <row r="43" spans="1:4" ht="19.95" customHeight="1">
      <c r="A43" s="92"/>
      <c r="B43" s="86"/>
      <c r="C43" s="86"/>
      <c r="D43" s="86"/>
    </row>
    <row r="44" spans="1:4" ht="19.95" customHeight="1">
      <c r="A44" s="92"/>
      <c r="B44" s="86"/>
      <c r="C44" s="86"/>
      <c r="D44" s="86"/>
    </row>
    <row r="45" spans="1:4" ht="19.95" customHeight="1">
      <c r="A45" s="92"/>
      <c r="B45" s="86"/>
      <c r="C45" s="86"/>
      <c r="D45" s="86"/>
    </row>
    <row r="46" spans="1:4" ht="19.95" customHeight="1">
      <c r="A46" s="92"/>
      <c r="B46" s="86"/>
      <c r="C46" s="86"/>
      <c r="D46" s="86"/>
    </row>
    <row r="47" spans="1:4" ht="19.95" customHeight="1">
      <c r="A47" s="92"/>
      <c r="B47" s="86"/>
      <c r="C47" s="86"/>
      <c r="D47" s="86"/>
    </row>
    <row r="48" spans="1:4" ht="19.95" customHeight="1">
      <c r="A48" s="92"/>
      <c r="B48" s="86"/>
      <c r="C48" s="86"/>
      <c r="D48" s="86"/>
    </row>
    <row r="49" spans="1:4" ht="19.95" customHeight="1">
      <c r="A49" s="92"/>
      <c r="B49" s="86"/>
      <c r="C49" s="86"/>
      <c r="D49" s="86"/>
    </row>
    <row r="50" spans="1:4" ht="19.95" customHeight="1">
      <c r="A50" s="92"/>
      <c r="B50" s="86"/>
      <c r="C50" s="86"/>
      <c r="D50" s="86"/>
    </row>
    <row r="51" spans="1:4" ht="19.95" customHeight="1"/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2026-06-02T03:42:48Z</dcterms:modified>
  <cp:category/>
  <cp:contentStatus/>
</cp:coreProperties>
</file>