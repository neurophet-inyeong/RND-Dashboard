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\RND-Dashboard\projects\"/>
    </mc:Choice>
  </mc:AlternateContent>
  <xr:revisionPtr revIDLastSave="0" documentId="13_ncr:1_{AE8A45ED-506E-480B-A7C1-BF5C85CFDBA8}" xr6:coauthVersionLast="47" xr6:coauthVersionMax="47" xr10:uidLastSave="{00000000-0000-0000-0000-000000000000}"/>
  <bookViews>
    <workbookView xWindow="31395" yWindow="3090" windowWidth="21600" windowHeight="12390" activeTab="1" xr2:uid="{B8D78CEB-D3AC-4A62-AA68-81CAD437EBFB}"/>
  </bookViews>
  <sheets>
    <sheet name="개요" sheetId="1" r:id="rId1"/>
    <sheet name="마일스톤" sheetId="4" r:id="rId2"/>
    <sheet name="정량지표" sheetId="5" r:id="rId3"/>
    <sheet name="정량지표상세" sheetId="6" r:id="rId4"/>
  </sheets>
  <definedNames>
    <definedName name="_xlnm._FilterDatabase" localSheetId="0" hidden="1">개요!#REF!</definedName>
    <definedName name="ExternalData_1" localSheetId="0" hidden="1">개요!$A$1:$B$15</definedName>
    <definedName name="ExternalData_2" localSheetId="0" hidden="1">개요!$A$17:$O$24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I7" i="5"/>
  <c r="I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G4" i="5" a="1"/>
  <c r="G4" i="5" s="1"/>
  <c r="I4" i="5" s="1"/>
  <c r="H4" i="5" a="1"/>
  <c r="H4" i="5" s="1"/>
  <c r="J4" i="5" s="1"/>
  <c r="G5" i="5" a="1"/>
  <c r="G5" i="5" s="1"/>
  <c r="I5" i="5" s="1"/>
  <c r="H5" i="5" a="1"/>
  <c r="H5" i="5" s="1"/>
  <c r="J5" i="5" s="1"/>
  <c r="G6" i="5" a="1"/>
  <c r="G6" i="5" s="1"/>
  <c r="I6" i="5" s="1"/>
  <c r="H6" i="5" a="1"/>
  <c r="H6" i="5" s="1"/>
  <c r="G7" i="5" a="1"/>
  <c r="G7" i="5" s="1"/>
  <c r="H7" i="5" a="1"/>
  <c r="H7" i="5" s="1"/>
  <c r="J7" i="5" s="1"/>
  <c r="G8" i="5" a="1"/>
  <c r="G8" i="5" s="1"/>
  <c r="H8" i="5" a="1"/>
  <c r="H8" i="5"/>
  <c r="J8" i="5" s="1"/>
  <c r="G9" i="5" a="1"/>
  <c r="G9" i="5" s="1"/>
  <c r="H9" i="5" a="1"/>
  <c r="H9" i="5"/>
  <c r="G10" i="5" a="1"/>
  <c r="G10" i="5" s="1"/>
  <c r="H10" i="5" a="1"/>
  <c r="H10" i="5"/>
  <c r="G11" i="5" a="1"/>
  <c r="G11" i="5" s="1"/>
  <c r="H11" i="5" a="1"/>
  <c r="H11" i="5"/>
  <c r="G12" i="5" a="1"/>
  <c r="G12" i="5" s="1"/>
  <c r="H12" i="5" a="1"/>
  <c r="H12" i="5"/>
  <c r="G13" i="5" a="1"/>
  <c r="G13" i="5" s="1"/>
  <c r="H13" i="5" a="1"/>
  <c r="H13" i="5"/>
  <c r="G14" i="5" a="1"/>
  <c r="G14" i="5" s="1"/>
  <c r="H14" i="5" a="1"/>
  <c r="H14" i="5"/>
  <c r="G15" i="5" a="1"/>
  <c r="G15" i="5" s="1"/>
  <c r="H15" i="5" a="1"/>
  <c r="H15" i="5"/>
  <c r="G16" i="5" a="1"/>
  <c r="G16" i="5" s="1"/>
  <c r="H16" i="5" a="1"/>
  <c r="H16" i="5"/>
  <c r="G17" i="5" a="1"/>
  <c r="G17" i="5" s="1"/>
  <c r="H17" i="5" a="1"/>
  <c r="H17" i="5"/>
  <c r="G18" i="5" a="1"/>
  <c r="G18" i="5" s="1"/>
  <c r="H18" i="5" a="1"/>
  <c r="H18" i="5"/>
  <c r="G19" i="5" a="1"/>
  <c r="G19" i="5" s="1"/>
  <c r="H19" i="5" a="1"/>
  <c r="H19" i="5"/>
  <c r="G20" i="5" a="1"/>
  <c r="G20" i="5" s="1"/>
  <c r="H20" i="5" a="1"/>
  <c r="H20" i="5"/>
  <c r="G21" i="5" a="1"/>
  <c r="G21" i="5" s="1"/>
  <c r="H21" i="5" a="1"/>
  <c r="H21" i="5"/>
  <c r="G22" i="5" a="1"/>
  <c r="G22" i="5" s="1"/>
  <c r="H22" i="5" a="1"/>
  <c r="H22" i="5"/>
  <c r="G23" i="5" a="1"/>
  <c r="G23" i="5" s="1"/>
  <c r="H23" i="5" a="1"/>
  <c r="H23" i="5"/>
  <c r="G24" i="5" a="1"/>
  <c r="G24" i="5" s="1"/>
  <c r="H24" i="5" a="1"/>
  <c r="H24" i="5"/>
  <c r="G25" i="5" a="1"/>
  <c r="G25" i="5" s="1"/>
  <c r="H25" i="5" a="1"/>
  <c r="H25" i="5"/>
  <c r="G26" i="5" a="1"/>
  <c r="G26" i="5" s="1"/>
  <c r="H26" i="5" a="1"/>
  <c r="H26" i="5"/>
  <c r="G27" i="5" a="1"/>
  <c r="G27" i="5" s="1"/>
  <c r="H27" i="5" a="1"/>
  <c r="H27" i="5" s="1"/>
  <c r="G28" i="5" a="1"/>
  <c r="G28" i="5" s="1"/>
  <c r="H28" i="5" a="1"/>
  <c r="H28" i="5"/>
  <c r="G29" i="5" a="1"/>
  <c r="G29" i="5" s="1"/>
  <c r="H29" i="5" a="1"/>
  <c r="H29" i="5" s="1"/>
  <c r="G30" i="5" a="1"/>
  <c r="G30" i="5" s="1"/>
  <c r="H30" i="5" a="1"/>
  <c r="H30" i="5"/>
  <c r="H3" i="5" a="1"/>
  <c r="H3" i="5" s="1"/>
  <c r="J3" i="5" s="1"/>
  <c r="G3" i="5" a="1"/>
  <c r="G3" i="5" s="1"/>
  <c r="I3" i="5" s="1"/>
  <c r="G2" i="1" l="1" a="1"/>
  <c r="G2" i="1" s="1"/>
  <c r="A28" i="4" l="1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J31" i="5" l="1"/>
  <c r="D3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3A5CB2-DE29-484C-902C-8BF58AA2DF7B}" keepAlive="1" interval="60" name="쿼리 - 쿼리1" description="통합 문서의 '쿼리1' 쿼리에 대한 연결입니다." type="5" refreshedVersion="8" background="1" refreshOnLoad="1" saveData="1">
    <dbPr connection="Provider=Microsoft.Mashup.OleDb.1;Data Source=$Workbook$;Location=쿼리1;Extended Properties=&quot;&quot;" command="SELECT * FROM [쿼리1]"/>
  </connection>
  <connection id="2" xr16:uid="{85E02D02-982A-467C-AA25-F51ACF50CDAC}" keepAlive="1" interval="60" name="쿼리 - 쿼리2" description="통합 문서의 '쿼리2' 쿼리에 대한 연결입니다." type="5" refreshedVersion="8" background="1" refreshOnLoad="1" saveData="1">
    <dbPr connection="Provider=Microsoft.Mashup.OleDb.1;Data Source=$Workbook$;Location=쿼리2;Extended Properties=&quot;&quot;" command="SELECT * FROM [쿼리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<sst xmlns="http://schemas.openxmlformats.org/spreadsheetml/2006/main" count="161" uniqueCount="118">
  <si>
    <t>시작일</t>
    <phoneticPr fontId="2" type="noConversion"/>
  </si>
  <si>
    <t>종료일</t>
    <phoneticPr fontId="2" type="noConversion"/>
  </si>
  <si>
    <t>기술료</t>
  </si>
  <si>
    <t>계획</t>
    <phoneticPr fontId="2" type="noConversion"/>
  </si>
  <si>
    <t>실행</t>
    <phoneticPr fontId="2" type="noConversion"/>
  </si>
  <si>
    <t>일련번호</t>
    <phoneticPr fontId="2" type="noConversion"/>
  </si>
  <si>
    <t>개발내용</t>
    <phoneticPr fontId="2" type="noConversion"/>
  </si>
  <si>
    <t>연차</t>
    <phoneticPr fontId="2" type="noConversion"/>
  </si>
  <si>
    <t>정량지표 명(주요성능 spec 등)</t>
    <phoneticPr fontId="6" type="noConversion"/>
  </si>
  <si>
    <t>확인지표</t>
    <phoneticPr fontId="6" type="noConversion"/>
  </si>
  <si>
    <t>지표단위</t>
    <phoneticPr fontId="6" type="noConversion"/>
  </si>
  <si>
    <t>가중치</t>
    <phoneticPr fontId="6" type="noConversion"/>
  </si>
  <si>
    <t>기관명</t>
    <phoneticPr fontId="2" type="noConversion"/>
  </si>
  <si>
    <t>합계</t>
  </si>
  <si>
    <t>단계-연차</t>
    <phoneticPr fontId="6" type="noConversion"/>
  </si>
  <si>
    <t>달성</t>
    <phoneticPr fontId="6" type="noConversion"/>
  </si>
  <si>
    <t>R&amp;D</t>
  </si>
  <si>
    <t>정량지표 명</t>
    <phoneticPr fontId="6" type="noConversion"/>
  </si>
  <si>
    <t>Column1</t>
  </si>
  <si>
    <t>Column2</t>
  </si>
  <si>
    <t>유형</t>
  </si>
  <si>
    <t>부처</t>
  </si>
  <si>
    <t>전문기관</t>
  </si>
  <si>
    <t>사업명</t>
  </si>
  <si>
    <t>과제명</t>
  </si>
  <si>
    <t>과제번호</t>
  </si>
  <si>
    <t>주관/공동(책임자)</t>
  </si>
  <si>
    <t>총 수행기간</t>
  </si>
  <si>
    <t>당해기간</t>
  </si>
  <si>
    <t>당해기간(개월)</t>
  </si>
  <si>
    <t>시스템</t>
  </si>
  <si>
    <t>사사문구</t>
  </si>
  <si>
    <t>공고일</t>
  </si>
  <si>
    <t>비   고</t>
  </si>
  <si>
    <t>열1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</si>
  <si>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</si>
  <si>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</si>
  <si>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</si>
  <si>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</si>
  <si>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</si>
  <si>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</si>
  <si>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</si>
  <si>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</si>
  <si>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</si>
  <si>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</si>
  <si>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</si>
  <si>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</si>
  <si>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</si>
  <si>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단계-연차</t>
  </si>
  <si>
    <t>시작일</t>
  </si>
  <si>
    <t>종료일</t>
  </si>
  <si>
    <t>개월 수</t>
  </si>
  <si>
    <t>계속비
(현금)</t>
  </si>
  <si>
    <t>정부지원금
(현금)</t>
  </si>
  <si>
    <t>지방비
(현금)</t>
  </si>
  <si>
    <t>민간부담금
(현금)</t>
  </si>
  <si>
    <t>민간부담금
(현물)</t>
  </si>
  <si>
    <t>총 민간부담금</t>
  </si>
  <si>
    <t>총 현금</t>
  </si>
  <si>
    <t>총 현물</t>
  </si>
  <si>
    <t>총 사업비</t>
  </si>
  <si>
    <t>타기관</t>
  </si>
  <si>
    <t>총합</t>
  </si>
  <si>
    <t/>
  </si>
  <si>
    <t>건</t>
  </si>
  <si>
    <t>1단계 1연차</t>
  </si>
  <si>
    <t>1단계 2연차</t>
  </si>
  <si>
    <t>2단계 1연차</t>
  </si>
  <si>
    <t>2단계 2연차</t>
  </si>
  <si>
    <t>주관(김은영)</t>
  </si>
  <si>
    <t>2026-04-01 - 2026-12-31 (1단계 1연차)</t>
  </si>
  <si>
    <t>논문</t>
  </si>
  <si>
    <t>목표</t>
  </si>
  <si>
    <t>연차별 연구개발 달성률</t>
  </si>
  <si>
    <t>달성</t>
    <phoneticPr fontId="2" type="noConversion"/>
  </si>
  <si>
    <t>범부처(과학기술정보통신부, 산업통상부, 보건복지부, 식품의약품안전처)</t>
  </si>
  <si>
    <t>재단법인 범부처의료기기연구개발사업단</t>
  </si>
  <si>
    <t>2026년도 범부처 첨단 의료기기 연구개발사업</t>
  </si>
  <si>
    <t>치료 반응 모니터링 및 예측을 위한 다질환 확장형 AI 뇌영상 분석 플랫폼 개발</t>
  </si>
  <si>
    <t>RS-2026-25540444</t>
  </si>
  <si>
    <t>2026-04-01 - 2029-12-31</t>
  </si>
  <si>
    <t>IRIS</t>
  </si>
  <si>
    <t>1단계 1,2 / 2단계 1,2</t>
  </si>
  <si>
    <t>학습 데이터 확보 및 큐레이션</t>
  </si>
  <si>
    <t>병변 특화/다질환 확장 모델을 위한 데이터셋 구축(병변 레이블 포함)</t>
  </si>
  <si>
    <t>파운데이션 모델(NeuroCore) 아키텍쳐 설계</t>
  </si>
  <si>
    <t>NeuroCore 업스트림 학습 및 테스트</t>
  </si>
  <si>
    <t>FLAIR 기반 다질환 확장(병변 특화) 다운스트림 학습: edema, ARIA-E, WMH, MS/NMOSD/MOGAD 병변</t>
  </si>
  <si>
    <t>SWI/GRE 기반 다질환 확장(병변 특화) 다운스트림 학습: SS 및 기타 출혈 병변</t>
  </si>
  <si>
    <t>기개발 모델(AQUA AD)의 기술문서 확보</t>
  </si>
  <si>
    <t>기개발 모델(AQUA AD)의 확증임상시험 착수</t>
  </si>
  <si>
    <t>기개발 모델(AQUA AD)의 국내 확증임상시험 실시</t>
  </si>
  <si>
    <t>기개발 모델(AQUA MS)의 해외 임상시험(MRMC) 실시</t>
  </si>
  <si>
    <t>FLAIR 기반 다질환 확장(병변 특화) 모델 개발 및 성능 평가</t>
  </si>
  <si>
    <t>SWI/GRE 기반 다질환 확장(병변 특화) 모델 개발 및 성능 평가: SS 기타 출혈 병변</t>
  </si>
  <si>
    <t>다기관 데이터셋 기반 Groud Truth 병변 레이블 제작</t>
  </si>
  <si>
    <t>시계열(Longitudinal) 분석 모듈 고도화</t>
  </si>
  <si>
    <t>Level 1 제품(NeuroCore 기반 모델, CAA/TBI 패턴 분류, 시계열 분석 기능) 탑재</t>
  </si>
  <si>
    <t>예측 모델 구축 및 상용화 검토</t>
  </si>
  <si>
    <t>기개발 모델(AQUA AD)의 국내 인허가 완료</t>
  </si>
  <si>
    <t>기개발 모델(AQUA MS)의 해외 임상시험(MRMC) 수행</t>
  </si>
  <si>
    <t>NeuroCore 기반 모델의 Level 1 제품 탑재</t>
  </si>
  <si>
    <t>Level 1 제품의 기술문서 확보(인허가 대비)</t>
  </si>
  <si>
    <t>Level 1 제품의 국내/해외 인허가 착수</t>
  </si>
  <si>
    <t>기개발 모델(AQUA MS)의 해외 인허가 심사(CE-MDR, 유럽)</t>
  </si>
  <si>
    <t>Level 1 제품의 국내/해외 임상시험</t>
  </si>
  <si>
    <t>Level 1 제품의 국내/해외 인허가 준비</t>
  </si>
  <si>
    <t>Level 2 제품(Level 1 모듈 포함, PVS 분할, ASL 분석, 예측 모델) 탑재</t>
  </si>
  <si>
    <t>SCI€학술지 등록건수</t>
  </si>
  <si>
    <t>특허 출원건수-국내출원</t>
  </si>
  <si>
    <t>출원증</t>
  </si>
  <si>
    <t>특허 출원건수-국내등록</t>
  </si>
  <si>
    <t>등록증</t>
  </si>
  <si>
    <t>시험제품제작-시험제품(TRL6 단계) 건수</t>
  </si>
  <si>
    <t>시제품</t>
  </si>
  <si>
    <t>임상시험 등록건수</t>
  </si>
  <si>
    <t>결과보고서</t>
  </si>
  <si>
    <t>품목신고/인증/허가(의료기기)등록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</si>
</sst>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[Red]#,##0"/>
    <numFmt numFmtId="177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8"/>
      <name val="Arial"/>
      <family val="2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76" fontId="3" fillId="2" borderId="0" xfId="0" applyNumberFormat="1" applyFont="1" applyFill="1" applyProtection="1">
      <alignment vertical="center"/>
      <protection locked="0"/>
    </xf>
    <xf numFmtId="41" fontId="3" fillId="2" borderId="0" xfId="1" applyFont="1" applyFill="1" applyBorder="1" applyProtection="1">
      <alignment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14" fontId="3" fillId="2" borderId="0" xfId="1" applyNumberFormat="1" applyFont="1" applyFill="1" applyBorder="1" applyAlignment="1" applyProtection="1">
      <alignment horizontal="center" vertical="center"/>
      <protection locked="0"/>
    </xf>
    <xf numFmtId="176" fontId="3" fillId="2" borderId="0" xfId="0" applyNumberFormat="1" applyFont="1" applyFill="1" applyAlignment="1" applyProtection="1">
      <alignment horizontal="center" vertical="center"/>
      <protection locked="0"/>
    </xf>
    <xf numFmtId="176" fontId="3" fillId="0" borderId="0" xfId="0" applyNumberFormat="1" applyFont="1" applyAlignment="1" applyProtection="1">
      <alignment horizontal="center" vertical="center"/>
      <protection locked="0"/>
    </xf>
    <xf numFmtId="176" fontId="4" fillId="2" borderId="5" xfId="0" applyNumberFormat="1" applyFont="1" applyFill="1" applyBorder="1" applyProtection="1">
      <alignment vertical="center"/>
      <protection locked="0"/>
    </xf>
    <xf numFmtId="176" fontId="4" fillId="2" borderId="5" xfId="0" applyNumberFormat="1" applyFont="1" applyFill="1" applyBorder="1" applyAlignment="1" applyProtection="1">
      <alignment horizontal="center" vertical="center"/>
      <protection locked="0"/>
    </xf>
    <xf numFmtId="14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176" fontId="4" fillId="2" borderId="5" xfId="0" applyNumberFormat="1" applyFont="1" applyFill="1" applyBorder="1" applyAlignment="1" applyProtection="1">
      <alignment horizontal="left" vertical="center"/>
      <protection locked="0"/>
    </xf>
    <xf numFmtId="176" fontId="3" fillId="0" borderId="5" xfId="0" applyNumberFormat="1" applyFont="1" applyBorder="1" applyAlignment="1" applyProtection="1">
      <alignment horizontal="left" vertical="center"/>
      <protection locked="0"/>
    </xf>
    <xf numFmtId="176" fontId="3" fillId="0" borderId="5" xfId="0" applyNumberFormat="1" applyFont="1" applyBorder="1" applyAlignment="1" applyProtection="1">
      <alignment horizontal="left" vertical="center" wrapText="1"/>
      <protection locked="0"/>
    </xf>
    <xf numFmtId="176" fontId="3" fillId="0" borderId="6" xfId="0" applyNumberFormat="1" applyFont="1" applyBorder="1" applyAlignment="1" applyProtection="1">
      <alignment horizontal="left" vertical="center"/>
      <protection locked="0"/>
    </xf>
    <xf numFmtId="177" fontId="3" fillId="0" borderId="5" xfId="0" applyNumberFormat="1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9" fontId="9" fillId="0" borderId="1" xfId="2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6" fontId="3" fillId="2" borderId="0" xfId="1" applyNumberFormat="1" applyFont="1" applyFill="1" applyBorder="1" applyProtection="1">
      <alignment vertical="center"/>
      <protection locked="0"/>
    </xf>
    <xf numFmtId="176" fontId="3" fillId="2" borderId="0" xfId="1" applyNumberFormat="1" applyFont="1" applyFill="1" applyBorder="1" applyAlignment="1" applyProtection="1">
      <alignment horizontal="center" vertical="center"/>
      <protection locked="0"/>
    </xf>
    <xf numFmtId="41" fontId="0" fillId="0" borderId="0" xfId="1" applyFont="1">
      <alignment vertical="center"/>
    </xf>
    <xf numFmtId="41" fontId="4" fillId="2" borderId="5" xfId="1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</cellXfs>
  <cellStyles count="4">
    <cellStyle name="Hyperlink" xfId="3" xr:uid="{CE08D5B9-372F-4712-9115-D30F17B6D5B9}"/>
    <cellStyle name="백분율" xfId="2" builtinId="5"/>
    <cellStyle name="쉼표 [0]" xfId="1" builtinId="6"/>
    <cellStyle name="표준" xfId="0" builtinId="0"/>
  </cellStyles>
  <dxfs count="36"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</dxf>
    <dxf>
      <font>
        <color theme="1"/>
      </font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E1428FBA-EE62-460E-B819-A31F7C3FF27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7EB84AB5-D458-46A9-9F59-F3E419E48A7F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50819-6720-48E0-AF35-0B2D5691CEB6}" name="파일명" displayName="파일명" ref="G1:G2" totalsRowShown="0" headerRowDxfId="35" dataDxfId="34" headerRowCellStyle="쉼표 [0]" dataCellStyle="쉼표 [0]">
  <autoFilter ref="G1:G2" xr:uid="{1B850819-6720-48E0-AF35-0B2D5691CEB6}"/>
  <tableColumns count="1">
    <tableColumn id="1" xr3:uid="{A6E6044B-92D8-4A8F-B3A7-A12C3877F860}" name="열1" dataDxfId="33" dataCellStyle="쉼표 [0]">
      <calculatedColumnFormula array="1">SUBSTITUTE(MID(CELL("filename",A1),FIND("[",CELL("filename",A1))+1,FIND("]",CELL("filename",A1))-FIND("[",CELL("filename",A1))-1), ".xlsx", 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1F53E0-88B3-4702-8C50-E1E3AE1553DD}" name="쿼리1" displayName="쿼리1" ref="A1:B15" tableType="queryTable" totalsRowShown="0" dataDxfId="32">
  <autoFilter ref="A1:B15" xr:uid="{421F53E0-88B3-4702-8C50-E1E3AE1553DD}"/>
  <tableColumns count="2">
    <tableColumn id="1" xr3:uid="{6811B6BA-68EB-4A27-A5E8-74F7CC48B115}" uniqueName="1" name="Column1" queryTableFieldId="1" dataDxfId="31"/>
    <tableColumn id="2" xr3:uid="{F32A2F07-1052-46EA-952E-C55D4AB75C8F}" uniqueName="2" name="Column2" queryTableFieldId="2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BF082F-53F9-49B7-A45C-1EB1A783B071}" name="쿼리2" displayName="쿼리2" ref="A17:O24" tableType="queryTable" totalsRowShown="0" headerRowDxfId="29" dataDxfId="28">
  <autoFilter ref="A17:O24" xr:uid="{B0BF082F-53F9-49B7-A45C-1EB1A783B071}"/>
  <tableColumns count="15">
    <tableColumn id="1" xr3:uid="{0F2914C2-C8B3-46C6-8A0C-A7E5AABE2418}" uniqueName="1" name="Column1" queryTableFieldId="1" dataDxfId="27"/>
    <tableColumn id="2" xr3:uid="{DC2A9131-7E27-4762-A033-0B0B6BB80A79}" uniqueName="2" name="Column2" queryTableFieldId="2" dataDxfId="26"/>
    <tableColumn id="3" xr3:uid="{15B8A075-924A-4F77-9C39-E818235BEA69}" uniqueName="3" name="Column3" queryTableFieldId="3" dataDxfId="25"/>
    <tableColumn id="4" xr3:uid="{E3526574-E136-4A27-B9D6-AB1EC078A604}" uniqueName="4" name="Column4" queryTableFieldId="4" dataDxfId="24"/>
    <tableColumn id="5" xr3:uid="{86C3A118-E22D-467A-A8C6-3B8FD0D5B8B2}" uniqueName="5" name="Column5" queryTableFieldId="5" dataDxfId="23" dataCellStyle="쉼표 [0]"/>
    <tableColumn id="6" xr3:uid="{F75D7DA7-D7FD-4922-8064-F907DAA3A629}" uniqueName="6" name="Column6" queryTableFieldId="6" dataDxfId="22" dataCellStyle="쉼표 [0]"/>
    <tableColumn id="7" xr3:uid="{BE8AED2F-4E5E-4A36-AAB9-E3E95C0441AE}" uniqueName="7" name="Column7" queryTableFieldId="7" dataDxfId="21" dataCellStyle="쉼표 [0]"/>
    <tableColumn id="8" xr3:uid="{D3ED56F8-218D-4082-B99D-25694FAC2CD5}" uniqueName="8" name="Column8" queryTableFieldId="8" dataDxfId="20" dataCellStyle="쉼표 [0]"/>
    <tableColumn id="9" xr3:uid="{368D1A99-AE6F-4D23-96A3-EBC8D664866C}" uniqueName="9" name="Column9" queryTableFieldId="9" dataDxfId="19" dataCellStyle="쉼표 [0]"/>
    <tableColumn id="10" xr3:uid="{9CE2C289-F616-4094-A439-4984025E56F8}" uniqueName="10" name="Column10" queryTableFieldId="10" dataDxfId="18" dataCellStyle="쉼표 [0]"/>
    <tableColumn id="11" xr3:uid="{394D2E84-2C7D-4F3C-925C-38115EEC6C64}" uniqueName="11" name="Column11" queryTableFieldId="11" dataDxfId="17" dataCellStyle="쉼표 [0]"/>
    <tableColumn id="12" xr3:uid="{6F0B6F7A-B763-4899-8B03-00F5DD6AC656}" uniqueName="12" name="Column12" queryTableFieldId="12" dataDxfId="16" dataCellStyle="쉼표 [0]"/>
    <tableColumn id="13" xr3:uid="{5D17574F-781C-436D-B6FB-9133EC1A1923}" uniqueName="13" name="Column13" queryTableFieldId="13" dataDxfId="15" dataCellStyle="쉼표 [0]"/>
    <tableColumn id="14" xr3:uid="{D98EE9A7-E736-42AD-B910-87D62615A8DB}" uniqueName="14" name="Column14" queryTableFieldId="14" dataDxfId="14" dataCellStyle="쉼표 [0]"/>
    <tableColumn id="15" xr3:uid="{A00C3AD1-0E3B-4314-98C9-8AD000C39263}" uniqueName="15" name="Column15" queryTableFieldId="15" dataDxfId="13" dataCellStyle="쉼표 [0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F446-DE9A-4BBE-905F-EDEFD937E208}">
  <sheetPr>
    <tabColor theme="5" tint="0.79998168889431442"/>
  </sheetPr>
  <dimension ref="A1:O68"/>
  <sheetViews>
    <sheetView workbookViewId="0">
      <selection activeCell="A19" sqref="A19"/>
    </sheetView>
  </sheetViews>
  <sheetFormatPr defaultColWidth="17.59765625" defaultRowHeight="15" customHeight="1" x14ac:dyDescent="0.4"/>
  <cols>
    <col min="1" max="1" width="17.3984375" style="1" bestFit="1" customWidth="1"/>
    <col min="2" max="2" width="73.19921875" style="1" bestFit="1" customWidth="1"/>
    <col min="3" max="3" width="11.19921875" style="1" bestFit="1" customWidth="1"/>
    <col min="4" max="4" width="9.3984375" style="1" bestFit="1" customWidth="1"/>
    <col min="5" max="5" width="12.5" style="2" bestFit="1" customWidth="1"/>
    <col min="6" max="6" width="16.59765625" style="3" bestFit="1" customWidth="1"/>
    <col min="7" max="7" width="12.5" style="4" bestFit="1" customWidth="1"/>
    <col min="8" max="9" width="16.59765625" style="1" bestFit="1" customWidth="1"/>
    <col min="10" max="10" width="13.796875" style="1" bestFit="1" customWidth="1"/>
    <col min="11" max="11" width="14.69921875" style="1" bestFit="1" customWidth="1"/>
    <col min="12" max="12" width="13.09765625" style="1" bestFit="1" customWidth="1"/>
    <col min="13" max="13" width="14.69921875" style="1" bestFit="1" customWidth="1"/>
    <col min="14" max="15" width="10.09765625" style="1" bestFit="1" customWidth="1"/>
    <col min="16" max="33" width="10.69921875" style="1" customWidth="1"/>
    <col min="34" max="16384" width="17.59765625" style="1"/>
  </cols>
  <sheetData>
    <row r="1" spans="1:10" ht="10.8" x14ac:dyDescent="0.4">
      <c r="A1" s="3" t="s">
        <v>18</v>
      </c>
      <c r="B1" s="1" t="s">
        <v>19</v>
      </c>
      <c r="F1" s="1"/>
      <c r="G1" s="4" t="s">
        <v>34</v>
      </c>
    </row>
    <row r="2" spans="1:10" ht="17.399999999999999" x14ac:dyDescent="0.4">
      <c r="A2" t="s">
        <v>20</v>
      </c>
      <c r="B2" t="s">
        <v>16</v>
      </c>
      <c r="F2" s="1"/>
      <c r="G2" s="4" t="str" cm="1">
        <f t="array" aca="1" ref="G2" ca="1">SUBSTITUTE(MID(CELL("filename",A1),FIND("[",CELL("filename",A1))+1,FIND("]",CELL("filename",A1))-FIND("[",CELL("filename",A1))-1), ".xlsx", "")</f>
        <v>RS-2026-25540444</v>
      </c>
    </row>
    <row r="3" spans="1:10" ht="17.399999999999999" x14ac:dyDescent="0.4">
      <c r="A3" t="s">
        <v>21</v>
      </c>
      <c r="B3" t="s">
        <v>75</v>
      </c>
      <c r="E3" s="1"/>
      <c r="F3" s="1"/>
      <c r="G3" s="1"/>
    </row>
    <row r="4" spans="1:10" ht="17.399999999999999" x14ac:dyDescent="0.4">
      <c r="A4" t="s">
        <v>22</v>
      </c>
      <c r="B4" t="s">
        <v>76</v>
      </c>
      <c r="E4" s="1"/>
      <c r="F4" s="1"/>
      <c r="G4" s="1"/>
    </row>
    <row r="5" spans="1:10" ht="17.399999999999999" x14ac:dyDescent="0.4">
      <c r="A5" t="s">
        <v>23</v>
      </c>
      <c r="B5" t="s">
        <v>77</v>
      </c>
      <c r="E5" s="1"/>
      <c r="F5" s="1"/>
      <c r="G5" s="1"/>
    </row>
    <row r="6" spans="1:10" ht="17.399999999999999" x14ac:dyDescent="0.4">
      <c r="A6" t="s">
        <v>24</v>
      </c>
      <c r="B6" t="s">
        <v>78</v>
      </c>
      <c r="E6" s="1"/>
      <c r="F6" s="1"/>
      <c r="G6" s="1"/>
    </row>
    <row r="7" spans="1:10" ht="17.399999999999999" x14ac:dyDescent="0.4">
      <c r="A7" t="s">
        <v>25</v>
      </c>
      <c r="B7" t="s">
        <v>79</v>
      </c>
      <c r="E7" s="1"/>
      <c r="F7" s="1"/>
      <c r="G7" s="1"/>
    </row>
    <row r="8" spans="1:10" ht="17.399999999999999" x14ac:dyDescent="0.4">
      <c r="A8" t="s">
        <v>26</v>
      </c>
      <c r="B8" t="s">
        <v>69</v>
      </c>
      <c r="E8" s="1"/>
      <c r="F8" s="1"/>
      <c r="G8" s="1"/>
    </row>
    <row r="9" spans="1:10" ht="17.399999999999999" x14ac:dyDescent="0.4">
      <c r="A9" t="s">
        <v>27</v>
      </c>
      <c r="B9" t="s">
        <v>80</v>
      </c>
      <c r="C9" s="5"/>
      <c r="E9" s="1"/>
      <c r="F9" s="1"/>
      <c r="G9" s="1"/>
    </row>
    <row r="10" spans="1:10" ht="17.399999999999999" x14ac:dyDescent="0.4">
      <c r="A10" t="s">
        <v>28</v>
      </c>
      <c r="B10" t="s">
        <v>70</v>
      </c>
      <c r="C10" s="6"/>
      <c r="D10" s="5"/>
      <c r="E10" s="5"/>
      <c r="F10" s="1"/>
      <c r="G10" s="1"/>
    </row>
    <row r="11" spans="1:10" ht="17.399999999999999" x14ac:dyDescent="0.4">
      <c r="A11" t="s">
        <v>29</v>
      </c>
      <c r="B11">
        <v>9</v>
      </c>
      <c r="C11" s="5"/>
      <c r="D11" s="5"/>
      <c r="E11" s="5"/>
      <c r="F11" s="1"/>
      <c r="G11" s="1"/>
    </row>
    <row r="12" spans="1:10" ht="17.399999999999999" x14ac:dyDescent="0.4">
      <c r="A12" t="s">
        <v>30</v>
      </c>
      <c r="B12" t="s">
        <v>81</v>
      </c>
      <c r="E12" s="1"/>
      <c r="F12" s="5"/>
      <c r="G12" s="5"/>
      <c r="H12" s="5"/>
      <c r="I12" s="5"/>
      <c r="J12" s="5"/>
    </row>
    <row r="13" spans="1:10" ht="17.399999999999999" x14ac:dyDescent="0.4">
      <c r="A13" t="s">
        <v>31</v>
      </c>
      <c r="B13"/>
      <c r="E13" s="1"/>
      <c r="F13" s="5"/>
      <c r="G13" s="5"/>
      <c r="H13" s="5"/>
      <c r="I13" s="5"/>
      <c r="J13" s="5"/>
    </row>
    <row r="14" spans="1:10" ht="17.399999999999999" x14ac:dyDescent="0.4">
      <c r="A14" t="s">
        <v>32</v>
      </c>
      <c r="B14" s="24">
        <v>46059</v>
      </c>
      <c r="E14" s="1"/>
      <c r="F14" s="5"/>
      <c r="G14" s="1"/>
    </row>
    <row r="15" spans="1:10" ht="17.399999999999999" x14ac:dyDescent="0.4">
      <c r="A15" t="s">
        <v>33</v>
      </c>
      <c r="B15" t="s">
        <v>82</v>
      </c>
      <c r="C15" s="5"/>
      <c r="E15" s="1"/>
      <c r="F15" s="1"/>
      <c r="G15" s="1"/>
    </row>
    <row r="17" spans="1:15" ht="10.8" x14ac:dyDescent="0.4">
      <c r="A17" s="1" t="s">
        <v>18</v>
      </c>
      <c r="B17" s="1" t="s">
        <v>19</v>
      </c>
      <c r="C17" s="1" t="s">
        <v>35</v>
      </c>
      <c r="D17" s="1" t="s">
        <v>36</v>
      </c>
      <c r="E17" s="25" t="s">
        <v>37</v>
      </c>
      <c r="F17" s="5" t="s">
        <v>38</v>
      </c>
      <c r="G17" s="26" t="s">
        <v>39</v>
      </c>
      <c r="H17" s="1" t="s">
        <v>40</v>
      </c>
      <c r="I17" s="1" t="s">
        <v>41</v>
      </c>
      <c r="J17" s="1" t="s">
        <v>42</v>
      </c>
      <c r="K17" s="1" t="s">
        <v>43</v>
      </c>
      <c r="L17" s="1" t="s">
        <v>44</v>
      </c>
      <c r="M17" s="1" t="s">
        <v>45</v>
      </c>
      <c r="N17" s="1" t="s">
        <v>46</v>
      </c>
      <c r="O17" s="1" t="s">
        <v>47</v>
      </c>
    </row>
    <row r="18" spans="1:15" ht="17.399999999999999" x14ac:dyDescent="0.4">
      <c r="A18" t="s">
        <v>48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K18" t="s">
        <v>58</v>
      </c>
      <c r="L18" t="s">
        <v>59</v>
      </c>
      <c r="M18" t="s">
        <v>60</v>
      </c>
      <c r="N18" t="s">
        <v>61</v>
      </c>
      <c r="O18" t="s">
        <v>2</v>
      </c>
    </row>
    <row r="19" spans="1:15" ht="17.399999999999999" x14ac:dyDescent="0.4">
      <c r="A19" t="s">
        <v>65</v>
      </c>
      <c r="B19" s="24">
        <v>46113</v>
      </c>
      <c r="C19" s="24">
        <v>46387</v>
      </c>
      <c r="D19">
        <v>9</v>
      </c>
      <c r="E19" s="27">
        <v>0</v>
      </c>
      <c r="F19" s="27">
        <v>150000000</v>
      </c>
      <c r="G19" s="27"/>
      <c r="H19" s="27">
        <v>5000000</v>
      </c>
      <c r="I19" s="27">
        <v>45000000</v>
      </c>
      <c r="J19" s="27">
        <v>50000000</v>
      </c>
      <c r="K19" s="27">
        <v>155000000</v>
      </c>
      <c r="L19" s="27">
        <v>45000000</v>
      </c>
      <c r="M19" s="27">
        <v>200000000</v>
      </c>
      <c r="N19" s="27"/>
      <c r="O19" s="27"/>
    </row>
    <row r="20" spans="1:15" ht="17.399999999999999" x14ac:dyDescent="0.4">
      <c r="A20" t="s">
        <v>66</v>
      </c>
      <c r="B20" s="24">
        <v>46388</v>
      </c>
      <c r="C20" s="24">
        <v>46752</v>
      </c>
      <c r="D20">
        <v>12</v>
      </c>
      <c r="E20" s="27">
        <v>0</v>
      </c>
      <c r="F20" s="27">
        <v>250000000</v>
      </c>
      <c r="G20" s="27"/>
      <c r="H20" s="27">
        <v>8334000</v>
      </c>
      <c r="I20" s="27">
        <v>75000000</v>
      </c>
      <c r="J20" s="27">
        <v>83334000</v>
      </c>
      <c r="K20" s="27">
        <v>258334000</v>
      </c>
      <c r="L20" s="27">
        <v>75000000</v>
      </c>
      <c r="M20" s="27">
        <v>333334000</v>
      </c>
      <c r="N20" s="27"/>
      <c r="O20" s="27"/>
    </row>
    <row r="21" spans="1:15" ht="17.399999999999999" x14ac:dyDescent="0.4">
      <c r="A21" t="s">
        <v>67</v>
      </c>
      <c r="B21" s="24">
        <v>46753</v>
      </c>
      <c r="C21" s="24">
        <v>47118</v>
      </c>
      <c r="D21">
        <v>12</v>
      </c>
      <c r="E21" s="27">
        <v>0</v>
      </c>
      <c r="F21" s="27">
        <v>275000000</v>
      </c>
      <c r="G21" s="27"/>
      <c r="H21" s="27">
        <v>9167000</v>
      </c>
      <c r="I21" s="27">
        <v>82500000</v>
      </c>
      <c r="J21" s="27">
        <v>91667000</v>
      </c>
      <c r="K21" s="27">
        <v>284167000</v>
      </c>
      <c r="L21" s="27">
        <v>82500000</v>
      </c>
      <c r="M21" s="27">
        <v>366667000</v>
      </c>
      <c r="N21" s="27"/>
      <c r="O21" s="27"/>
    </row>
    <row r="22" spans="1:15" ht="17.399999999999999" x14ac:dyDescent="0.4">
      <c r="A22" t="s">
        <v>68</v>
      </c>
      <c r="B22" s="24">
        <v>47119</v>
      </c>
      <c r="C22" s="24">
        <v>47483</v>
      </c>
      <c r="D22">
        <v>12</v>
      </c>
      <c r="E22" s="27">
        <v>0</v>
      </c>
      <c r="F22" s="27">
        <v>295000000</v>
      </c>
      <c r="G22" s="27"/>
      <c r="H22" s="27">
        <v>9834000</v>
      </c>
      <c r="I22" s="27">
        <v>88500000</v>
      </c>
      <c r="J22" s="27">
        <v>98334000</v>
      </c>
      <c r="K22" s="27">
        <v>304834000</v>
      </c>
      <c r="L22" s="27">
        <v>88500000</v>
      </c>
      <c r="M22" s="27">
        <v>393334000</v>
      </c>
      <c r="N22" s="27"/>
      <c r="O22" s="27"/>
    </row>
    <row r="23" spans="1:15" ht="17.399999999999999" x14ac:dyDescent="0.4">
      <c r="A23"/>
      <c r="B23" s="24"/>
      <c r="C23" s="24"/>
      <c r="D23" t="s">
        <v>63</v>
      </c>
      <c r="E23" s="27">
        <v>0</v>
      </c>
      <c r="F23" s="27"/>
      <c r="G23" s="27"/>
      <c r="H23" s="27"/>
      <c r="I23" s="27"/>
      <c r="J23" s="27"/>
      <c r="K23" s="27">
        <v>0</v>
      </c>
      <c r="L23" s="27">
        <v>0</v>
      </c>
      <c r="M23" s="27">
        <v>0</v>
      </c>
      <c r="N23" s="27"/>
      <c r="O23" s="27"/>
    </row>
    <row r="24" spans="1:15" ht="17.399999999999999" x14ac:dyDescent="0.4">
      <c r="A24" t="s">
        <v>62</v>
      </c>
      <c r="B24"/>
      <c r="C24"/>
      <c r="D24">
        <v>45</v>
      </c>
      <c r="E24" s="27">
        <v>0</v>
      </c>
      <c r="F24" s="27">
        <v>970000000</v>
      </c>
      <c r="G24" s="27">
        <v>0</v>
      </c>
      <c r="H24" s="27">
        <v>32335000</v>
      </c>
      <c r="I24" s="27">
        <v>291000000</v>
      </c>
      <c r="J24" s="27">
        <v>323335000</v>
      </c>
      <c r="K24" s="27">
        <v>1002335000</v>
      </c>
      <c r="L24" s="27">
        <v>291000000</v>
      </c>
      <c r="M24" s="27">
        <v>1293335000</v>
      </c>
      <c r="N24" s="27">
        <v>0</v>
      </c>
      <c r="O24" s="27">
        <v>0</v>
      </c>
    </row>
    <row r="68" spans="1:14" ht="15" customHeight="1" x14ac:dyDescent="0.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</sheetData>
  <sheetProtection selectLockedCells="1" autoFilter="0"/>
  <phoneticPr fontId="2" type="noConversion"/>
  <dataValidations disablePrompts="1" count="2">
    <dataValidation type="list" allowBlank="1" showInputMessage="1" showErrorMessage="1" sqref="B68:C68" xr:uid="{CA73FDAC-184A-4927-AB2A-1CDF9BDF554E}">
      <formula1>$A$3:$C$3</formula1>
    </dataValidation>
    <dataValidation type="list" allowBlank="1" showInputMessage="1" showErrorMessage="1" sqref="A68" xr:uid="{EEB98D16-1946-4104-893F-D8E2215185E7}">
      <formula1>#REF!</formula1>
    </dataValidation>
  </dataValidations>
  <pageMargins left="0.7" right="0.7" top="0.75" bottom="0.75" header="0.3" footer="0.3"/>
  <pageSetup paperSize="9" scale="73" orientation="portrait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8FD7-B543-4E4F-8516-CCAF187F460D}">
  <dimension ref="A1:G50"/>
  <sheetViews>
    <sheetView tabSelected="1" workbookViewId="0">
      <selection activeCell="F8" sqref="F8"/>
    </sheetView>
  </sheetViews>
  <sheetFormatPr defaultRowHeight="17.399999999999999" x14ac:dyDescent="0.4"/>
  <cols>
    <col min="2" max="2" width="71.19921875" style="10" bestFit="1" customWidth="1"/>
    <col min="4" max="5" width="11.09765625" bestFit="1" customWidth="1"/>
  </cols>
  <sheetData>
    <row r="1" spans="1:7" x14ac:dyDescent="0.4">
      <c r="A1" s="7"/>
      <c r="B1" s="11"/>
      <c r="C1" s="7"/>
      <c r="D1" s="8" t="s">
        <v>3</v>
      </c>
      <c r="E1" s="8" t="s">
        <v>3</v>
      </c>
      <c r="F1" s="28" t="s">
        <v>4</v>
      </c>
      <c r="G1" s="28" t="s">
        <v>4</v>
      </c>
    </row>
    <row r="2" spans="1:7" x14ac:dyDescent="0.4">
      <c r="A2" s="8" t="s">
        <v>5</v>
      </c>
      <c r="B2" s="8" t="s">
        <v>6</v>
      </c>
      <c r="C2" s="8" t="s">
        <v>7</v>
      </c>
      <c r="D2" s="8" t="s">
        <v>0</v>
      </c>
      <c r="E2" s="8" t="s">
        <v>1</v>
      </c>
      <c r="F2" s="8" t="s">
        <v>0</v>
      </c>
      <c r="G2" s="8" t="s">
        <v>1</v>
      </c>
    </row>
    <row r="3" spans="1:7" x14ac:dyDescent="0.4">
      <c r="A3" s="15">
        <v>1</v>
      </c>
      <c r="B3" s="12" t="s">
        <v>83</v>
      </c>
      <c r="C3" s="9" t="s">
        <v>65</v>
      </c>
      <c r="D3" s="9">
        <v>46113</v>
      </c>
      <c r="E3" s="9">
        <v>46295</v>
      </c>
      <c r="F3" s="9">
        <v>46113</v>
      </c>
      <c r="G3" s="9"/>
    </row>
    <row r="4" spans="1:7" x14ac:dyDescent="0.4">
      <c r="A4" s="15">
        <v>2</v>
      </c>
      <c r="B4" s="12" t="s">
        <v>84</v>
      </c>
      <c r="C4" s="9" t="s">
        <v>65</v>
      </c>
      <c r="D4" s="9">
        <v>46113</v>
      </c>
      <c r="E4" s="9">
        <v>46295</v>
      </c>
      <c r="F4" s="9"/>
      <c r="G4" s="9"/>
    </row>
    <row r="5" spans="1:7" x14ac:dyDescent="0.4">
      <c r="A5" s="15">
        <v>3</v>
      </c>
      <c r="B5" s="12" t="s">
        <v>85</v>
      </c>
      <c r="C5" s="9" t="s">
        <v>65</v>
      </c>
      <c r="D5" s="9">
        <v>46113</v>
      </c>
      <c r="E5" s="9">
        <v>46203</v>
      </c>
      <c r="F5" s="9"/>
      <c r="G5" s="9"/>
    </row>
    <row r="6" spans="1:7" x14ac:dyDescent="0.4">
      <c r="A6" s="15">
        <v>4</v>
      </c>
      <c r="B6" s="12" t="s">
        <v>86</v>
      </c>
      <c r="C6" s="9" t="s">
        <v>65</v>
      </c>
      <c r="D6" s="9">
        <v>46204</v>
      </c>
      <c r="E6" s="9">
        <v>46387</v>
      </c>
      <c r="F6" s="9"/>
      <c r="G6" s="9"/>
    </row>
    <row r="7" spans="1:7" x14ac:dyDescent="0.4">
      <c r="A7" s="15">
        <v>5</v>
      </c>
      <c r="B7" s="12" t="s">
        <v>87</v>
      </c>
      <c r="C7" s="9" t="s">
        <v>65</v>
      </c>
      <c r="D7" s="9">
        <v>46235</v>
      </c>
      <c r="E7" s="9">
        <v>46387</v>
      </c>
      <c r="F7" s="9"/>
      <c r="G7" s="9"/>
    </row>
    <row r="8" spans="1:7" x14ac:dyDescent="0.4">
      <c r="A8" s="15">
        <v>6</v>
      </c>
      <c r="B8" s="13" t="s">
        <v>88</v>
      </c>
      <c r="C8" s="9" t="s">
        <v>65</v>
      </c>
      <c r="D8" s="9">
        <v>46235</v>
      </c>
      <c r="E8" s="9">
        <v>46387</v>
      </c>
      <c r="F8" s="9"/>
      <c r="G8" s="9"/>
    </row>
    <row r="9" spans="1:7" x14ac:dyDescent="0.4">
      <c r="A9" s="15">
        <v>7</v>
      </c>
      <c r="B9" s="13" t="s">
        <v>89</v>
      </c>
      <c r="C9" s="9" t="s">
        <v>65</v>
      </c>
      <c r="D9" s="9">
        <v>46113</v>
      </c>
      <c r="E9" s="9">
        <v>46265</v>
      </c>
      <c r="F9" s="9">
        <v>46113</v>
      </c>
      <c r="G9" s="9"/>
    </row>
    <row r="10" spans="1:7" x14ac:dyDescent="0.4">
      <c r="A10" s="15">
        <v>8</v>
      </c>
      <c r="B10" s="12" t="s">
        <v>90</v>
      </c>
      <c r="C10" s="9" t="s">
        <v>65</v>
      </c>
      <c r="D10" s="9">
        <v>46266</v>
      </c>
      <c r="E10" s="9">
        <v>46387</v>
      </c>
      <c r="F10" s="9"/>
      <c r="G10" s="9"/>
    </row>
    <row r="11" spans="1:7" x14ac:dyDescent="0.4">
      <c r="A11" s="15">
        <v>9</v>
      </c>
      <c r="B11" s="12" t="s">
        <v>91</v>
      </c>
      <c r="C11" s="9" t="s">
        <v>66</v>
      </c>
      <c r="D11" s="9">
        <v>46388</v>
      </c>
      <c r="E11" s="9">
        <v>46752</v>
      </c>
      <c r="F11" s="9"/>
      <c r="G11" s="9"/>
    </row>
    <row r="12" spans="1:7" x14ac:dyDescent="0.4">
      <c r="A12" s="15">
        <v>10</v>
      </c>
      <c r="B12" s="12" t="s">
        <v>92</v>
      </c>
      <c r="C12" s="9" t="s">
        <v>66</v>
      </c>
      <c r="D12" s="9">
        <v>46569</v>
      </c>
      <c r="E12" s="9">
        <v>46752</v>
      </c>
      <c r="F12" s="9"/>
      <c r="G12" s="9"/>
    </row>
    <row r="13" spans="1:7" x14ac:dyDescent="0.4">
      <c r="A13" s="15">
        <v>11</v>
      </c>
      <c r="B13" s="12" t="s">
        <v>93</v>
      </c>
      <c r="C13" s="9" t="s">
        <v>66</v>
      </c>
      <c r="D13" s="9">
        <v>46388</v>
      </c>
      <c r="E13" s="9">
        <v>46568</v>
      </c>
      <c r="F13" s="9"/>
      <c r="G13" s="9"/>
    </row>
    <row r="14" spans="1:7" x14ac:dyDescent="0.4">
      <c r="A14" s="15">
        <v>12</v>
      </c>
      <c r="B14" s="12" t="s">
        <v>94</v>
      </c>
      <c r="C14" s="9" t="s">
        <v>66</v>
      </c>
      <c r="D14" s="9">
        <v>46569</v>
      </c>
      <c r="E14" s="9">
        <v>46568</v>
      </c>
      <c r="F14" s="9"/>
      <c r="G14" s="9"/>
    </row>
    <row r="15" spans="1:7" x14ac:dyDescent="0.4">
      <c r="A15" s="15">
        <v>13</v>
      </c>
      <c r="B15" s="12" t="s">
        <v>95</v>
      </c>
      <c r="C15" s="9" t="s">
        <v>66</v>
      </c>
      <c r="D15" s="9">
        <v>46569</v>
      </c>
      <c r="E15" s="9">
        <v>46568</v>
      </c>
      <c r="F15" s="9"/>
      <c r="G15" s="9"/>
    </row>
    <row r="16" spans="1:7" x14ac:dyDescent="0.4">
      <c r="A16" s="15">
        <v>14</v>
      </c>
      <c r="B16" s="12" t="s">
        <v>96</v>
      </c>
      <c r="C16" s="9" t="s">
        <v>66</v>
      </c>
      <c r="D16" s="9">
        <v>46478</v>
      </c>
      <c r="E16" s="9">
        <v>46568</v>
      </c>
      <c r="F16" s="9"/>
      <c r="G16" s="9"/>
    </row>
    <row r="17" spans="1:7" x14ac:dyDescent="0.4">
      <c r="A17" s="15">
        <v>15</v>
      </c>
      <c r="B17" s="14" t="s">
        <v>97</v>
      </c>
      <c r="C17" s="9" t="s">
        <v>66</v>
      </c>
      <c r="D17" s="9">
        <v>46661</v>
      </c>
      <c r="E17" s="9">
        <v>46752</v>
      </c>
      <c r="F17" s="9"/>
      <c r="G17" s="9"/>
    </row>
    <row r="18" spans="1:7" x14ac:dyDescent="0.4">
      <c r="A18" s="15">
        <v>16</v>
      </c>
      <c r="B18" s="14" t="s">
        <v>98</v>
      </c>
      <c r="C18" s="9" t="s">
        <v>66</v>
      </c>
      <c r="D18" s="9">
        <v>46569</v>
      </c>
      <c r="E18" s="9">
        <v>46752</v>
      </c>
      <c r="F18" s="9"/>
      <c r="G18" s="9"/>
    </row>
    <row r="19" spans="1:7" x14ac:dyDescent="0.4">
      <c r="A19" s="15">
        <v>17</v>
      </c>
      <c r="B19" s="14" t="s">
        <v>99</v>
      </c>
      <c r="C19" s="9" t="s">
        <v>67</v>
      </c>
      <c r="D19" s="9">
        <v>46753</v>
      </c>
      <c r="E19" s="9">
        <v>46934</v>
      </c>
      <c r="F19" s="9"/>
      <c r="G19" s="9"/>
    </row>
    <row r="20" spans="1:7" x14ac:dyDescent="0.4">
      <c r="A20" s="15">
        <v>18</v>
      </c>
      <c r="B20" s="14" t="s">
        <v>100</v>
      </c>
      <c r="C20" s="9" t="s">
        <v>67</v>
      </c>
      <c r="D20" s="9">
        <v>46753</v>
      </c>
      <c r="E20" s="9">
        <v>47118</v>
      </c>
      <c r="F20" s="9"/>
      <c r="G20" s="9"/>
    </row>
    <row r="21" spans="1:7" x14ac:dyDescent="0.4">
      <c r="A21" s="15">
        <v>19</v>
      </c>
      <c r="B21" s="14" t="s">
        <v>101</v>
      </c>
      <c r="C21" s="9" t="s">
        <v>67</v>
      </c>
      <c r="D21" s="9">
        <v>46753</v>
      </c>
      <c r="E21" s="9">
        <v>46843</v>
      </c>
      <c r="F21" s="9"/>
      <c r="G21" s="9"/>
    </row>
    <row r="22" spans="1:7" x14ac:dyDescent="0.4">
      <c r="A22" s="15">
        <v>20</v>
      </c>
      <c r="B22" s="14" t="s">
        <v>102</v>
      </c>
      <c r="C22" s="9" t="s">
        <v>67</v>
      </c>
      <c r="D22" s="9">
        <v>46753</v>
      </c>
      <c r="E22" s="9">
        <v>47118</v>
      </c>
      <c r="F22" s="9"/>
      <c r="G22" s="9"/>
    </row>
    <row r="23" spans="1:7" x14ac:dyDescent="0.4">
      <c r="A23" s="15">
        <v>21</v>
      </c>
      <c r="B23" s="14" t="s">
        <v>103</v>
      </c>
      <c r="C23" s="9" t="s">
        <v>67</v>
      </c>
      <c r="D23" s="9">
        <v>46935</v>
      </c>
      <c r="E23" s="9">
        <v>47118</v>
      </c>
      <c r="F23" s="9"/>
      <c r="G23" s="9"/>
    </row>
    <row r="24" spans="1:7" x14ac:dyDescent="0.4">
      <c r="A24" s="15">
        <v>22</v>
      </c>
      <c r="B24" s="14" t="s">
        <v>104</v>
      </c>
      <c r="C24" s="9" t="s">
        <v>68</v>
      </c>
      <c r="D24" s="9">
        <v>47119</v>
      </c>
      <c r="E24" s="9">
        <v>47483</v>
      </c>
      <c r="F24" s="9"/>
      <c r="G24" s="9"/>
    </row>
    <row r="25" spans="1:7" x14ac:dyDescent="0.4">
      <c r="A25" s="15">
        <v>23</v>
      </c>
      <c r="B25" s="14" t="s">
        <v>105</v>
      </c>
      <c r="C25" s="9" t="s">
        <v>68</v>
      </c>
      <c r="D25" s="9">
        <v>47119</v>
      </c>
      <c r="E25" s="9">
        <v>47483</v>
      </c>
      <c r="F25" s="9"/>
      <c r="G25" s="9"/>
    </row>
    <row r="26" spans="1:7" x14ac:dyDescent="0.4">
      <c r="A26" s="15">
        <v>24</v>
      </c>
      <c r="B26" s="14" t="s">
        <v>106</v>
      </c>
      <c r="C26" s="9" t="s">
        <v>68</v>
      </c>
      <c r="D26" s="9">
        <v>47300</v>
      </c>
      <c r="E26" s="9">
        <v>47483</v>
      </c>
      <c r="F26" s="9"/>
      <c r="G26" s="9"/>
    </row>
    <row r="27" spans="1:7" x14ac:dyDescent="0.4">
      <c r="A27" s="15">
        <v>25</v>
      </c>
      <c r="B27" s="14" t="s">
        <v>107</v>
      </c>
      <c r="C27" s="9" t="s">
        <v>68</v>
      </c>
      <c r="D27" s="9">
        <v>47209</v>
      </c>
      <c r="E27" s="9">
        <v>47483</v>
      </c>
      <c r="F27" s="9"/>
      <c r="G27" s="9"/>
    </row>
    <row r="28" spans="1:7" x14ac:dyDescent="0.4">
      <c r="A28" s="15" t="str">
        <f>IF(B28&lt;&gt;"",SUBTOTAL(3,$B$3:B28),"")</f>
        <v/>
      </c>
      <c r="B28" s="14"/>
      <c r="C28" s="9"/>
      <c r="D28" s="9"/>
      <c r="E28" s="9"/>
      <c r="F28" s="9"/>
      <c r="G28" s="9"/>
    </row>
    <row r="29" spans="1:7" x14ac:dyDescent="0.4">
      <c r="A29" s="15" t="str">
        <f>IF(B29&lt;&gt;"",SUBTOTAL(3,$B$3:B29),"")</f>
        <v/>
      </c>
      <c r="B29" s="14"/>
      <c r="C29" s="9"/>
      <c r="D29" s="9"/>
      <c r="E29" s="9"/>
      <c r="F29" s="9"/>
      <c r="G29" s="9"/>
    </row>
    <row r="30" spans="1:7" x14ac:dyDescent="0.4">
      <c r="A30" s="15" t="str">
        <f>IF(B30&lt;&gt;"",SUBTOTAL(3,$B$3:B30),"")</f>
        <v/>
      </c>
      <c r="B30" s="14"/>
      <c r="C30" s="9"/>
      <c r="D30" s="9"/>
      <c r="E30" s="9"/>
      <c r="F30" s="9"/>
      <c r="G30" s="9"/>
    </row>
    <row r="31" spans="1:7" x14ac:dyDescent="0.4">
      <c r="A31" s="15" t="str">
        <f>IF(B31&lt;&gt;"",SUBTOTAL(3,$B$3:B31),"")</f>
        <v/>
      </c>
      <c r="B31" s="14"/>
      <c r="C31" s="9"/>
      <c r="D31" s="9"/>
      <c r="E31" s="9"/>
      <c r="F31" s="9"/>
      <c r="G31" s="9"/>
    </row>
    <row r="32" spans="1:7" x14ac:dyDescent="0.4">
      <c r="A32" s="15" t="str">
        <f>IF(B32&lt;&gt;"",SUBTOTAL(3,$B$3:B32),"")</f>
        <v/>
      </c>
      <c r="B32" s="14"/>
      <c r="C32" s="9"/>
      <c r="D32" s="9"/>
      <c r="E32" s="9"/>
      <c r="F32" s="9"/>
      <c r="G32" s="9"/>
    </row>
    <row r="33" spans="1:7" x14ac:dyDescent="0.4">
      <c r="A33" s="15" t="str">
        <f>IF(B33&lt;&gt;"",SUBTOTAL(3,$B$3:B33),"")</f>
        <v/>
      </c>
      <c r="B33" s="14"/>
      <c r="C33" s="9"/>
      <c r="D33" s="9"/>
      <c r="E33" s="9"/>
      <c r="F33" s="9"/>
      <c r="G33" s="9"/>
    </row>
    <row r="34" spans="1:7" x14ac:dyDescent="0.4">
      <c r="A34" s="15" t="str">
        <f>IF(B34&lt;&gt;"",SUBTOTAL(3,$B$3:B34),"")</f>
        <v/>
      </c>
      <c r="B34" s="14"/>
      <c r="C34" s="9"/>
      <c r="D34" s="9"/>
      <c r="E34" s="9"/>
      <c r="F34" s="9"/>
      <c r="G34" s="9"/>
    </row>
    <row r="35" spans="1:7" x14ac:dyDescent="0.4">
      <c r="A35" s="15" t="str">
        <f>IF(B35&lt;&gt;"",SUBTOTAL(3,$B$3:B35),"")</f>
        <v/>
      </c>
      <c r="B35" s="14"/>
      <c r="C35" s="9"/>
      <c r="D35" s="9"/>
      <c r="E35" s="9"/>
      <c r="F35" s="9"/>
      <c r="G35" s="9"/>
    </row>
    <row r="36" spans="1:7" x14ac:dyDescent="0.4">
      <c r="A36" s="15" t="str">
        <f>IF(B36&lt;&gt;"",SUBTOTAL(3,$B$3:B36),"")</f>
        <v/>
      </c>
      <c r="B36" s="14"/>
      <c r="C36" s="9"/>
      <c r="D36" s="9"/>
      <c r="E36" s="9"/>
      <c r="F36" s="9"/>
      <c r="G36" s="9"/>
    </row>
    <row r="37" spans="1:7" x14ac:dyDescent="0.4">
      <c r="A37" s="15" t="str">
        <f>IF(B37&lt;&gt;"",SUBTOTAL(3,$B$3:B37),"")</f>
        <v/>
      </c>
      <c r="B37" s="14"/>
      <c r="D37" s="9"/>
      <c r="E37" s="9"/>
      <c r="F37" s="9"/>
      <c r="G37" s="9"/>
    </row>
    <row r="38" spans="1:7" x14ac:dyDescent="0.4">
      <c r="A38" s="15" t="str">
        <f>IF(B38&lt;&gt;"",SUBTOTAL(3,$B$3:B38),"")</f>
        <v/>
      </c>
      <c r="B38" s="14"/>
      <c r="D38" s="9"/>
      <c r="E38" s="9"/>
      <c r="F38" s="9"/>
      <c r="G38" s="9"/>
    </row>
    <row r="39" spans="1:7" x14ac:dyDescent="0.4">
      <c r="A39" s="15" t="str">
        <f>IF(B39&lt;&gt;"",SUBTOTAL(3,$B$3:B39),"")</f>
        <v/>
      </c>
      <c r="B39" s="14"/>
      <c r="D39" s="9"/>
      <c r="E39" s="9"/>
      <c r="F39" s="9"/>
      <c r="G39" s="9"/>
    </row>
    <row r="40" spans="1:7" x14ac:dyDescent="0.4">
      <c r="A40" s="15" t="str">
        <f>IF(B40&lt;&gt;"",SUBTOTAL(3,$B$3:B40),"")</f>
        <v/>
      </c>
      <c r="B40" s="14"/>
      <c r="D40" s="9"/>
      <c r="E40" s="9"/>
      <c r="F40" s="9"/>
      <c r="G40" s="9"/>
    </row>
    <row r="41" spans="1:7" x14ac:dyDescent="0.4">
      <c r="A41" s="15" t="str">
        <f>IF(B41&lt;&gt;"",SUBTOTAL(3,$B$3:B41),"")</f>
        <v/>
      </c>
      <c r="B41" s="14"/>
      <c r="D41" s="9"/>
      <c r="E41" s="9"/>
      <c r="F41" s="9"/>
      <c r="G41" s="9"/>
    </row>
    <row r="42" spans="1:7" x14ac:dyDescent="0.4">
      <c r="A42" s="15" t="str">
        <f>IF(B42&lt;&gt;"",SUBTOTAL(3,$B$3:B42),"")</f>
        <v/>
      </c>
      <c r="B42" s="14"/>
      <c r="D42" s="9"/>
      <c r="E42" s="9"/>
      <c r="F42" s="9"/>
      <c r="G42" s="9"/>
    </row>
    <row r="43" spans="1:7" x14ac:dyDescent="0.4">
      <c r="A43" s="15" t="str">
        <f>IF(B43&lt;&gt;"",SUBTOTAL(3,$B$3:B43),"")</f>
        <v/>
      </c>
      <c r="B43" s="14"/>
      <c r="D43" s="9"/>
      <c r="E43" s="9"/>
      <c r="F43" s="9"/>
      <c r="G43" s="9"/>
    </row>
    <row r="44" spans="1:7" x14ac:dyDescent="0.4">
      <c r="A44" s="15" t="str">
        <f>IF(B44&lt;&gt;"",SUBTOTAL(3,$B$3:B44),"")</f>
        <v/>
      </c>
      <c r="B44" s="14"/>
      <c r="D44" s="9"/>
      <c r="E44" s="9"/>
      <c r="F44" s="9"/>
      <c r="G44" s="9"/>
    </row>
    <row r="45" spans="1:7" x14ac:dyDescent="0.4">
      <c r="A45" s="15" t="str">
        <f>IF(B45&lt;&gt;"",SUBTOTAL(3,$B$3:B45),"")</f>
        <v/>
      </c>
      <c r="B45" s="14"/>
      <c r="D45" s="9"/>
      <c r="E45" s="9"/>
      <c r="F45" s="9"/>
      <c r="G45" s="9"/>
    </row>
    <row r="46" spans="1:7" x14ac:dyDescent="0.4">
      <c r="A46" s="15" t="str">
        <f>IF(B46&lt;&gt;"",SUBTOTAL(3,$B$3:B46),"")</f>
        <v/>
      </c>
      <c r="B46" s="14"/>
      <c r="D46" s="9"/>
      <c r="E46" s="9"/>
      <c r="F46" s="9"/>
      <c r="G46" s="9"/>
    </row>
    <row r="47" spans="1:7" x14ac:dyDescent="0.4">
      <c r="A47" s="15" t="str">
        <f>IF(B47&lt;&gt;"",SUBTOTAL(3,$B$3:B47),"")</f>
        <v/>
      </c>
      <c r="B47" s="14"/>
      <c r="D47" s="9"/>
      <c r="E47" s="9"/>
      <c r="F47" s="9"/>
      <c r="G47" s="9"/>
    </row>
    <row r="48" spans="1:7" x14ac:dyDescent="0.4">
      <c r="A48" s="15" t="str">
        <f>IF(B48&lt;&gt;"",SUBTOTAL(3,$B$3:B48),"")</f>
        <v/>
      </c>
      <c r="B48" s="14"/>
      <c r="D48" s="9"/>
      <c r="E48" s="9"/>
      <c r="F48" s="9"/>
      <c r="G48" s="9"/>
    </row>
    <row r="49" spans="1:7" x14ac:dyDescent="0.4">
      <c r="A49" s="15" t="str">
        <f>IF(B49&lt;&gt;"",SUBTOTAL(3,$B$3:B49),"")</f>
        <v/>
      </c>
      <c r="B49" s="14"/>
      <c r="D49" s="9"/>
      <c r="E49" s="9"/>
      <c r="F49" s="9"/>
      <c r="G49" s="9"/>
    </row>
    <row r="50" spans="1:7" x14ac:dyDescent="0.4">
      <c r="A50" s="15" t="str">
        <f>IF(B50&lt;&gt;"",SUBTOTAL(3,$B$3:B50),"")</f>
        <v/>
      </c>
      <c r="B50" s="14"/>
      <c r="D50" s="9"/>
      <c r="E50" s="9"/>
      <c r="F50" s="9"/>
      <c r="G50" s="9"/>
    </row>
  </sheetData>
  <phoneticPr fontId="2" type="noConversion"/>
  <conditionalFormatting sqref="A3:G50">
    <cfRule type="expression" dxfId="12" priority="1">
      <formula>OR($C3="2단계 3연차", $C3="3단계 3연차")</formula>
    </cfRule>
    <cfRule type="expression" dxfId="11" priority="2">
      <formula>OR($C3="2단계 2연차", $C3="3단계 2연차")</formula>
    </cfRule>
    <cfRule type="expression" dxfId="10" priority="3">
      <formula>OR($C3="2단계 1연차", $C3="3단계 1연차")</formula>
    </cfRule>
    <cfRule type="expression" dxfId="9" priority="4">
      <formula>OR($C3="0단계 3연차", $C3="1단계 3연차")</formula>
    </cfRule>
    <cfRule type="expression" dxfId="8" priority="5">
      <formula>OR($C3="0단계 2연차", $C3="1단계 2연차")</formula>
    </cfRule>
    <cfRule type="expression" dxfId="7" priority="6">
      <formula>OR($C3="0단계 1연차", $C3="1단계 1연차")</formula>
    </cfRule>
  </conditionalFormatting>
  <pageMargins left="0.7" right="0.7" top="0.75" bottom="0.75" header="0.3" footer="0.3"/>
  <ignoredErrors>
    <ignoredError sqref="A28:A50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C0AB1B-468E-4B95-9E28-23CEE24A29DF}">
          <x14:formula1>
            <xm:f>개요!#REF!</xm:f>
          </x14:formula1>
          <xm:sqref>C3:C50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D152-141A-4EE5-9AF0-6CF2B63B97BD}">
  <dimension ref="A1:J31"/>
  <sheetViews>
    <sheetView workbookViewId="0">
      <selection activeCell="B12" sqref="B12"/>
    </sheetView>
  </sheetViews>
  <sheetFormatPr defaultRowHeight="17.399999999999999" x14ac:dyDescent="0.4"/>
  <cols>
    <col min="1" max="1" width="54.59765625" style="20" bestFit="1" customWidth="1"/>
    <col min="2" max="16384" width="8.796875" style="20"/>
  </cols>
  <sheetData>
    <row r="1" spans="1:10" ht="17.399999999999999" customHeight="1" x14ac:dyDescent="0.4">
      <c r="A1" s="29" t="s">
        <v>8</v>
      </c>
      <c r="B1" s="29" t="s">
        <v>9</v>
      </c>
      <c r="C1" s="29" t="s">
        <v>10</v>
      </c>
      <c r="D1" s="29" t="s">
        <v>11</v>
      </c>
      <c r="E1" s="31" t="s">
        <v>72</v>
      </c>
      <c r="F1" s="32"/>
      <c r="G1" s="31" t="s">
        <v>74</v>
      </c>
      <c r="H1" s="32"/>
      <c r="I1" s="31" t="s">
        <v>73</v>
      </c>
      <c r="J1" s="32"/>
    </row>
    <row r="2" spans="1:10" x14ac:dyDescent="0.4">
      <c r="A2" s="30"/>
      <c r="B2" s="30"/>
      <c r="C2" s="30"/>
      <c r="D2" s="30"/>
      <c r="E2" s="19" t="s">
        <v>66</v>
      </c>
      <c r="F2" s="19" t="s">
        <v>68</v>
      </c>
      <c r="G2" s="19" t="s">
        <v>66</v>
      </c>
      <c r="H2" s="19" t="s">
        <v>68</v>
      </c>
      <c r="I2" s="19" t="s">
        <v>66</v>
      </c>
      <c r="J2" s="19" t="s">
        <v>68</v>
      </c>
    </row>
    <row r="3" spans="1:10" x14ac:dyDescent="0.4">
      <c r="A3" s="21" t="s">
        <v>108</v>
      </c>
      <c r="B3" s="21" t="s">
        <v>71</v>
      </c>
      <c r="C3" s="21" t="s">
        <v>64</v>
      </c>
      <c r="D3" s="21">
        <v>25</v>
      </c>
      <c r="E3" s="21">
        <v>1</v>
      </c>
      <c r="F3" s="21">
        <v>1</v>
      </c>
      <c r="G3" s="22" t="str" cm="1">
        <f t="array" ref="G3">IFERROR(IF(ISNUMBER(INDEX(정량지표상세!$C$2:$C$24, MATCH(1, (정량지표상세!$A$2:$A$24=$A3) * (정량지표상세!$B$2:$B$24=G$2), 0))),
    SUMIFS(정량지표상세!$C$2:$C$24, 정량지표상세!$A$2:$A$24, $A3, 정량지표상세!$B$2:$B$24, G$2),
    INDEX(정량지표상세!$C$2:$C$24, MATCH(1, (정량지표상세!$A$2:$A$24=$A3) * (정량지표상세!$B$2:$B$24=G$2), 0))),"")</f>
        <v/>
      </c>
      <c r="H3" s="22" t="str" cm="1">
        <f t="array" ref="H3">IFERROR(IF(ISNUMBER(INDEX(정량지표상세!$C$2:$C$24, MATCH(1, (정량지표상세!$A$2:$A$24=$A3) * (정량지표상세!$B$2:$B$24=H$2), 0))),
    SUMIFS(정량지표상세!$C$2:$C$24, 정량지표상세!$A$2:$A$24, $A3, 정량지표상세!$B$2:$B$24, H$2),
    INDEX(정량지표상세!$C$2:$C$24, MATCH(1, (정량지표상세!$A$2:$A$24=$A3) * (정량지표상세!$B$2:$B$24=H$2), 0))),"")</f>
        <v/>
      </c>
      <c r="I3" s="22" t="str">
        <f>IF(E3="","",
   IF(ISNUMBER(E3),
      IF(N(G3)/E3&gt;=1,"달성","미달성"),
      IF(E3=G3,"달성","미달성")
   )
)</f>
        <v>미달성</v>
      </c>
      <c r="J3" s="22" t="str">
        <f>IF(F3="","",
   IF(ISNUMBER(F3),
      IF(N(H3)/F3&gt;=1,"달성","미달성"),
      IF(F3=H3,"달성","미달성")
   )
)</f>
        <v>미달성</v>
      </c>
    </row>
    <row r="4" spans="1:10" x14ac:dyDescent="0.4">
      <c r="A4" s="21" t="s">
        <v>109</v>
      </c>
      <c r="B4" s="21" t="s">
        <v>110</v>
      </c>
      <c r="C4" s="21" t="s">
        <v>64</v>
      </c>
      <c r="D4" s="21">
        <v>15</v>
      </c>
      <c r="E4" s="21">
        <v>1</v>
      </c>
      <c r="F4" s="21">
        <v>2</v>
      </c>
      <c r="G4" s="22" t="str" cm="1">
        <f t="array" ref="G4">IFERROR(IF(ISNUMBER(INDEX(정량지표상세!$C$2:$C$24, MATCH(1, (정량지표상세!$A$2:$A$24=$A4) * (정량지표상세!$B$2:$B$24=G$2), 0))),
    SUMIFS(정량지표상세!$C$2:$C$24, 정량지표상세!$A$2:$A$24, $A4, 정량지표상세!$B$2:$B$24, G$2),
    INDEX(정량지표상세!$C$2:$C$24, MATCH(1, (정량지표상세!$A$2:$A$24=$A4) * (정량지표상세!$B$2:$B$24=G$2), 0))),"")</f>
        <v/>
      </c>
      <c r="H4" s="22" t="str" cm="1">
        <f t="array" ref="H4">IFERROR(IF(ISNUMBER(INDEX(정량지표상세!$C$2:$C$24, MATCH(1, (정량지표상세!$A$2:$A$24=$A4) * (정량지표상세!$B$2:$B$24=H$2), 0))),
    SUMIFS(정량지표상세!$C$2:$C$24, 정량지표상세!$A$2:$A$24, $A4, 정량지표상세!$B$2:$B$24, H$2),
    INDEX(정량지표상세!$C$2:$C$24, MATCH(1, (정량지표상세!$A$2:$A$24=$A4) * (정량지표상세!$B$2:$B$24=H$2), 0))),"")</f>
        <v/>
      </c>
      <c r="I4" s="22" t="str">
        <f t="shared" ref="I4:I30" si="0">IF(E4="","",
   IF(ISNUMBER(E4),
      IF(N(G4)/E4&gt;=1,"달성","미달성"),
      IF(E4=G4,"달성","미달성")
   )
)</f>
        <v>미달성</v>
      </c>
      <c r="J4" s="22" t="str">
        <f t="shared" ref="J4:J30" si="1">IF(F4="","",
   IF(ISNUMBER(F4),
      IF(N(H4)/F4&gt;=1,"달성","미달성"),
      IF(F4=H4,"달성","미달성")
   )
)</f>
        <v>미달성</v>
      </c>
    </row>
    <row r="5" spans="1:10" x14ac:dyDescent="0.4">
      <c r="A5" s="21" t="s">
        <v>111</v>
      </c>
      <c r="B5" s="21" t="s">
        <v>112</v>
      </c>
      <c r="C5" s="21" t="s">
        <v>64</v>
      </c>
      <c r="D5" s="21">
        <v>10</v>
      </c>
      <c r="E5" s="21">
        <v>1</v>
      </c>
      <c r="F5" s="21">
        <v>2</v>
      </c>
      <c r="G5" s="22" t="str" cm="1">
        <f t="array" ref="G5">IFERROR(IF(ISNUMBER(INDEX(정량지표상세!$C$2:$C$24, MATCH(1, (정량지표상세!$A$2:$A$24=$A5) * (정량지표상세!$B$2:$B$24=G$2), 0))),
    SUMIFS(정량지표상세!$C$2:$C$24, 정량지표상세!$A$2:$A$24, $A5, 정량지표상세!$B$2:$B$24, G$2),
    INDEX(정량지표상세!$C$2:$C$24, MATCH(1, (정량지표상세!$A$2:$A$24=$A5) * (정량지표상세!$B$2:$B$24=G$2), 0))),"")</f>
        <v/>
      </c>
      <c r="H5" s="22" t="str" cm="1">
        <f t="array" ref="H5">IFERROR(IF(ISNUMBER(INDEX(정량지표상세!$C$2:$C$24, MATCH(1, (정량지표상세!$A$2:$A$24=$A5) * (정량지표상세!$B$2:$B$24=H$2), 0))),
    SUMIFS(정량지표상세!$C$2:$C$24, 정량지표상세!$A$2:$A$24, $A5, 정량지표상세!$B$2:$B$24, H$2),
    INDEX(정량지표상세!$C$2:$C$24, MATCH(1, (정량지표상세!$A$2:$A$24=$A5) * (정량지표상세!$B$2:$B$24=H$2), 0))),"")</f>
        <v/>
      </c>
      <c r="I5" s="22" t="str">
        <f t="shared" si="0"/>
        <v>미달성</v>
      </c>
      <c r="J5" s="22" t="str">
        <f t="shared" si="1"/>
        <v>미달성</v>
      </c>
    </row>
    <row r="6" spans="1:10" x14ac:dyDescent="0.4">
      <c r="A6" s="21" t="s">
        <v>113</v>
      </c>
      <c r="B6" s="21" t="s">
        <v>114</v>
      </c>
      <c r="C6" s="21" t="s">
        <v>64</v>
      </c>
      <c r="D6" s="21">
        <v>20</v>
      </c>
      <c r="E6" s="21">
        <v>1</v>
      </c>
      <c r="F6" s="21"/>
      <c r="G6" s="22" t="str" cm="1">
        <f t="array" ref="G6">IFERROR(IF(ISNUMBER(INDEX(정량지표상세!$C$2:$C$24, MATCH(1, (정량지표상세!$A$2:$A$24=$A6) * (정량지표상세!$B$2:$B$24=G$2), 0))),
    SUMIFS(정량지표상세!$C$2:$C$24, 정량지표상세!$A$2:$A$24, $A6, 정량지표상세!$B$2:$B$24, G$2),
    INDEX(정량지표상세!$C$2:$C$24, MATCH(1, (정량지표상세!$A$2:$A$24=$A6) * (정량지표상세!$B$2:$B$24=G$2), 0))),"")</f>
        <v/>
      </c>
      <c r="H6" s="22" t="str" cm="1">
        <f t="array" ref="H6">IFERROR(IF(ISNUMBER(INDEX(정량지표상세!$C$2:$C$24, MATCH(1, (정량지표상세!$A$2:$A$24=$A6) * (정량지표상세!$B$2:$B$24=H$2), 0))),
    SUMIFS(정량지표상세!$C$2:$C$24, 정량지표상세!$A$2:$A$24, $A6, 정량지표상세!$B$2:$B$24, H$2),
    INDEX(정량지표상세!$C$2:$C$24, MATCH(1, (정량지표상세!$A$2:$A$24=$A6) * (정량지표상세!$B$2:$B$24=H$2), 0))),"")</f>
        <v/>
      </c>
      <c r="I6" s="22" t="str">
        <f t="shared" si="0"/>
        <v>미달성</v>
      </c>
      <c r="J6" s="22" t="str">
        <f t="shared" si="1"/>
        <v/>
      </c>
    </row>
    <row r="7" spans="1:10" x14ac:dyDescent="0.4">
      <c r="A7" s="21" t="s">
        <v>115</v>
      </c>
      <c r="B7" s="21" t="s">
        <v>116</v>
      </c>
      <c r="C7" s="21" t="s">
        <v>64</v>
      </c>
      <c r="D7" s="21">
        <v>15</v>
      </c>
      <c r="E7" s="21"/>
      <c r="F7" s="21">
        <v>1</v>
      </c>
      <c r="G7" s="22" t="str" cm="1">
        <f t="array" ref="G7">IFERROR(IF(ISNUMBER(INDEX(정량지표상세!$C$2:$C$24, MATCH(1, (정량지표상세!$A$2:$A$24=$A7) * (정량지표상세!$B$2:$B$24=G$2), 0))),
    SUMIFS(정량지표상세!$C$2:$C$24, 정량지표상세!$A$2:$A$24, $A7, 정량지표상세!$B$2:$B$24, G$2),
    INDEX(정량지표상세!$C$2:$C$24, MATCH(1, (정량지표상세!$A$2:$A$24=$A7) * (정량지표상세!$B$2:$B$24=G$2), 0))),"")</f>
        <v/>
      </c>
      <c r="H7" s="22" t="str" cm="1">
        <f t="array" ref="H7">IFERROR(IF(ISNUMBER(INDEX(정량지표상세!$C$2:$C$24, MATCH(1, (정량지표상세!$A$2:$A$24=$A7) * (정량지표상세!$B$2:$B$24=H$2), 0))),
    SUMIFS(정량지표상세!$C$2:$C$24, 정량지표상세!$A$2:$A$24, $A7, 정량지표상세!$B$2:$B$24, H$2),
    INDEX(정량지표상세!$C$2:$C$24, MATCH(1, (정량지표상세!$A$2:$A$24=$A7) * (정량지표상세!$B$2:$B$24=H$2), 0))),"")</f>
        <v/>
      </c>
      <c r="I7" s="22" t="str">
        <f t="shared" si="0"/>
        <v/>
      </c>
      <c r="J7" s="22" t="str">
        <f t="shared" si="1"/>
        <v>미달성</v>
      </c>
    </row>
    <row r="8" spans="1:10" x14ac:dyDescent="0.4">
      <c r="A8" s="21" t="s">
        <v>117</v>
      </c>
      <c r="B8" s="21" t="s">
        <v>112</v>
      </c>
      <c r="C8" s="21" t="s">
        <v>64</v>
      </c>
      <c r="D8" s="21">
        <v>15</v>
      </c>
      <c r="E8" s="21"/>
      <c r="F8" s="21">
        <v>1</v>
      </c>
      <c r="G8" s="22" t="str" cm="1">
        <f t="array" ref="G8">IFERROR(IF(ISNUMBER(INDEX(정량지표상세!$C$2:$C$24, MATCH(1, (정량지표상세!$A$2:$A$24=$A8) * (정량지표상세!$B$2:$B$24=G$2), 0))),
    SUMIFS(정량지표상세!$C$2:$C$24, 정량지표상세!$A$2:$A$24, $A8, 정량지표상세!$B$2:$B$24, G$2),
    INDEX(정량지표상세!$C$2:$C$24, MATCH(1, (정량지표상세!$A$2:$A$24=$A8) * (정량지표상세!$B$2:$B$24=G$2), 0))),"")</f>
        <v/>
      </c>
      <c r="H8" s="22" t="str" cm="1">
        <f t="array" ref="H8">IFERROR(IF(ISNUMBER(INDEX(정량지표상세!$C$2:$C$24, MATCH(1, (정량지표상세!$A$2:$A$24=$A8) * (정량지표상세!$B$2:$B$24=H$2), 0))),
    SUMIFS(정량지표상세!$C$2:$C$24, 정량지표상세!$A$2:$A$24, $A8, 정량지표상세!$B$2:$B$24, H$2),
    INDEX(정량지표상세!$C$2:$C$24, MATCH(1, (정량지표상세!$A$2:$A$24=$A8) * (정량지표상세!$B$2:$B$24=H$2), 0))),"")</f>
        <v/>
      </c>
      <c r="I8" s="22" t="str">
        <f t="shared" si="0"/>
        <v/>
      </c>
      <c r="J8" s="22" t="str">
        <f t="shared" si="1"/>
        <v>미달성</v>
      </c>
    </row>
    <row r="9" spans="1:10" x14ac:dyDescent="0.4">
      <c r="A9" s="21"/>
      <c r="B9" s="21"/>
      <c r="C9" s="21"/>
      <c r="D9" s="21"/>
      <c r="E9" s="21"/>
      <c r="F9" s="21"/>
      <c r="G9" s="22" t="str" cm="1">
        <f t="array" ref="G9">IFERROR(IF(ISNUMBER(INDEX(정량지표상세!$C$2:$C$24, MATCH(1, (정량지표상세!$A$2:$A$24=$A9) * (정량지표상세!$B$2:$B$24=G$2), 0))),
    SUMIFS(정량지표상세!$C$2:$C$24, 정량지표상세!$A$2:$A$24, $A9, 정량지표상세!$B$2:$B$24, G$2),
    INDEX(정량지표상세!$C$2:$C$24, MATCH(1, (정량지표상세!$A$2:$A$24=$A9) * (정량지표상세!$B$2:$B$24=G$2), 0))),"")</f>
        <v/>
      </c>
      <c r="H9" s="22" t="str" cm="1">
        <f t="array" ref="H9">IFERROR(IF(ISNUMBER(INDEX(정량지표상세!$C$2:$C$24, MATCH(1, (정량지표상세!$A$2:$A$24=$A9) * (정량지표상세!$B$2:$B$24=H$2), 0))),
    SUMIFS(정량지표상세!$C$2:$C$24, 정량지표상세!$A$2:$A$24, $A9, 정량지표상세!$B$2:$B$24, H$2),
    INDEX(정량지표상세!$C$2:$C$24, MATCH(1, (정량지표상세!$A$2:$A$24=$A9) * (정량지표상세!$B$2:$B$24=H$2), 0))),"")</f>
        <v/>
      </c>
      <c r="I9" s="22" t="str">
        <f t="shared" si="0"/>
        <v/>
      </c>
      <c r="J9" s="22" t="str">
        <f t="shared" si="1"/>
        <v/>
      </c>
    </row>
    <row r="10" spans="1:10" x14ac:dyDescent="0.4">
      <c r="A10" s="21"/>
      <c r="B10" s="21"/>
      <c r="C10" s="21"/>
      <c r="D10" s="21"/>
      <c r="E10" s="21"/>
      <c r="F10" s="21"/>
      <c r="G10" s="22" t="str" cm="1">
        <f t="array" ref="G10">IFERROR(IF(ISNUMBER(INDEX(정량지표상세!$C$2:$C$24, MATCH(1, (정량지표상세!$A$2:$A$24=$A10) * (정량지표상세!$B$2:$B$24=G$2), 0))),
    SUMIFS(정량지표상세!$C$2:$C$24, 정량지표상세!$A$2:$A$24, $A10, 정량지표상세!$B$2:$B$24, G$2),
    INDEX(정량지표상세!$C$2:$C$24, MATCH(1, (정량지표상세!$A$2:$A$24=$A10) * (정량지표상세!$B$2:$B$24=G$2), 0))),"")</f>
        <v/>
      </c>
      <c r="H10" s="22" t="str" cm="1">
        <f t="array" ref="H10">IFERROR(IF(ISNUMBER(INDEX(정량지표상세!$C$2:$C$24, MATCH(1, (정량지표상세!$A$2:$A$24=$A10) * (정량지표상세!$B$2:$B$24=H$2), 0))),
    SUMIFS(정량지표상세!$C$2:$C$24, 정량지표상세!$A$2:$A$24, $A10, 정량지표상세!$B$2:$B$24, H$2),
    INDEX(정량지표상세!$C$2:$C$24, MATCH(1, (정량지표상세!$A$2:$A$24=$A10) * (정량지표상세!$B$2:$B$24=H$2), 0))),"")</f>
        <v/>
      </c>
      <c r="I10" s="22" t="str">
        <f t="shared" si="0"/>
        <v/>
      </c>
      <c r="J10" s="22" t="str">
        <f t="shared" si="1"/>
        <v/>
      </c>
    </row>
    <row r="11" spans="1:10" x14ac:dyDescent="0.4">
      <c r="A11" s="21"/>
      <c r="B11" s="21"/>
      <c r="C11" s="21"/>
      <c r="D11" s="21"/>
      <c r="E11" s="21"/>
      <c r="F11" s="21"/>
      <c r="G11" s="22" t="str" cm="1">
        <f t="array" ref="G11">IFERROR(IF(ISNUMBER(INDEX(정량지표상세!$C$2:$C$24, MATCH(1, (정량지표상세!$A$2:$A$24=$A11) * (정량지표상세!$B$2:$B$24=G$2), 0))),
    SUMIFS(정량지표상세!$C$2:$C$24, 정량지표상세!$A$2:$A$24, $A11, 정량지표상세!$B$2:$B$24, G$2),
    INDEX(정량지표상세!$C$2:$C$24, MATCH(1, (정량지표상세!$A$2:$A$24=$A11) * (정량지표상세!$B$2:$B$24=G$2), 0))),"")</f>
        <v/>
      </c>
      <c r="H11" s="22" t="str" cm="1">
        <f t="array" ref="H11">IFERROR(IF(ISNUMBER(INDEX(정량지표상세!$C$2:$C$24, MATCH(1, (정량지표상세!$A$2:$A$24=$A11) * (정량지표상세!$B$2:$B$24=H$2), 0))),
    SUMIFS(정량지표상세!$C$2:$C$24, 정량지표상세!$A$2:$A$24, $A11, 정량지표상세!$B$2:$B$24, H$2),
    INDEX(정량지표상세!$C$2:$C$24, MATCH(1, (정량지표상세!$A$2:$A$24=$A11) * (정량지표상세!$B$2:$B$24=H$2), 0))),"")</f>
        <v/>
      </c>
      <c r="I11" s="22" t="str">
        <f t="shared" si="0"/>
        <v/>
      </c>
      <c r="J11" s="22" t="str">
        <f t="shared" si="1"/>
        <v/>
      </c>
    </row>
    <row r="12" spans="1:10" x14ac:dyDescent="0.4">
      <c r="A12" s="21"/>
      <c r="B12" s="21"/>
      <c r="C12" s="21"/>
      <c r="D12" s="21"/>
      <c r="E12" s="21"/>
      <c r="F12" s="21"/>
      <c r="G12" s="22" t="str" cm="1">
        <f t="array" ref="G12">IFERROR(IF(ISNUMBER(INDEX(정량지표상세!$C$2:$C$24, MATCH(1, (정량지표상세!$A$2:$A$24=$A12) * (정량지표상세!$B$2:$B$24=G$2), 0))),
    SUMIFS(정량지표상세!$C$2:$C$24, 정량지표상세!$A$2:$A$24, $A12, 정량지표상세!$B$2:$B$24, G$2),
    INDEX(정량지표상세!$C$2:$C$24, MATCH(1, (정량지표상세!$A$2:$A$24=$A12) * (정량지표상세!$B$2:$B$24=G$2), 0))),"")</f>
        <v/>
      </c>
      <c r="H12" s="22" t="str" cm="1">
        <f t="array" ref="H12">IFERROR(IF(ISNUMBER(INDEX(정량지표상세!$C$2:$C$24, MATCH(1, (정량지표상세!$A$2:$A$24=$A12) * (정량지표상세!$B$2:$B$24=H$2), 0))),
    SUMIFS(정량지표상세!$C$2:$C$24, 정량지표상세!$A$2:$A$24, $A12, 정량지표상세!$B$2:$B$24, H$2),
    INDEX(정량지표상세!$C$2:$C$24, MATCH(1, (정량지표상세!$A$2:$A$24=$A12) * (정량지표상세!$B$2:$B$24=H$2), 0))),"")</f>
        <v/>
      </c>
      <c r="I12" s="22" t="str">
        <f t="shared" si="0"/>
        <v/>
      </c>
      <c r="J12" s="22" t="str">
        <f t="shared" si="1"/>
        <v/>
      </c>
    </row>
    <row r="13" spans="1:10" x14ac:dyDescent="0.4">
      <c r="A13" s="21"/>
      <c r="B13" s="21"/>
      <c r="C13" s="21"/>
      <c r="D13" s="21"/>
      <c r="E13" s="21"/>
      <c r="F13" s="21"/>
      <c r="G13" s="22" t="str" cm="1">
        <f t="array" ref="G13">IFERROR(IF(ISNUMBER(INDEX(정량지표상세!$C$2:$C$24, MATCH(1, (정량지표상세!$A$2:$A$24=$A13) * (정량지표상세!$B$2:$B$24=G$2), 0))),
    SUMIFS(정량지표상세!$C$2:$C$24, 정량지표상세!$A$2:$A$24, $A13, 정량지표상세!$B$2:$B$24, G$2),
    INDEX(정량지표상세!$C$2:$C$24, MATCH(1, (정량지표상세!$A$2:$A$24=$A13) * (정량지표상세!$B$2:$B$24=G$2), 0))),"")</f>
        <v/>
      </c>
      <c r="H13" s="22" t="str" cm="1">
        <f t="array" ref="H13">IFERROR(IF(ISNUMBER(INDEX(정량지표상세!$C$2:$C$24, MATCH(1, (정량지표상세!$A$2:$A$24=$A13) * (정량지표상세!$B$2:$B$24=H$2), 0))),
    SUMIFS(정량지표상세!$C$2:$C$24, 정량지표상세!$A$2:$A$24, $A13, 정량지표상세!$B$2:$B$24, H$2),
    INDEX(정량지표상세!$C$2:$C$24, MATCH(1, (정량지표상세!$A$2:$A$24=$A13) * (정량지표상세!$B$2:$B$24=H$2), 0))),"")</f>
        <v/>
      </c>
      <c r="I13" s="22" t="str">
        <f t="shared" si="0"/>
        <v/>
      </c>
      <c r="J13" s="22" t="str">
        <f t="shared" si="1"/>
        <v/>
      </c>
    </row>
    <row r="14" spans="1:10" x14ac:dyDescent="0.4">
      <c r="A14" s="21"/>
      <c r="B14" s="21"/>
      <c r="C14" s="21"/>
      <c r="D14" s="21"/>
      <c r="E14" s="21"/>
      <c r="F14" s="21"/>
      <c r="G14" s="22" t="str" cm="1">
        <f t="array" ref="G14">IFERROR(IF(ISNUMBER(INDEX(정량지표상세!$C$2:$C$24, MATCH(1, (정량지표상세!$A$2:$A$24=$A14) * (정량지표상세!$B$2:$B$24=G$2), 0))),
    SUMIFS(정량지표상세!$C$2:$C$24, 정량지표상세!$A$2:$A$24, $A14, 정량지표상세!$B$2:$B$24, G$2),
    INDEX(정량지표상세!$C$2:$C$24, MATCH(1, (정량지표상세!$A$2:$A$24=$A14) * (정량지표상세!$B$2:$B$24=G$2), 0))),"")</f>
        <v/>
      </c>
      <c r="H14" s="22" t="str" cm="1">
        <f t="array" ref="H14">IFERROR(IF(ISNUMBER(INDEX(정량지표상세!$C$2:$C$24, MATCH(1, (정량지표상세!$A$2:$A$24=$A14) * (정량지표상세!$B$2:$B$24=H$2), 0))),
    SUMIFS(정량지표상세!$C$2:$C$24, 정량지표상세!$A$2:$A$24, $A14, 정량지표상세!$B$2:$B$24, H$2),
    INDEX(정량지표상세!$C$2:$C$24, MATCH(1, (정량지표상세!$A$2:$A$24=$A14) * (정량지표상세!$B$2:$B$24=H$2), 0))),"")</f>
        <v/>
      </c>
      <c r="I14" s="22" t="str">
        <f t="shared" si="0"/>
        <v/>
      </c>
      <c r="J14" s="22" t="str">
        <f t="shared" si="1"/>
        <v/>
      </c>
    </row>
    <row r="15" spans="1:10" x14ac:dyDescent="0.4">
      <c r="A15" s="21"/>
      <c r="B15" s="21"/>
      <c r="C15" s="21"/>
      <c r="D15" s="21"/>
      <c r="E15" s="21"/>
      <c r="F15" s="21"/>
      <c r="G15" s="22" t="str" cm="1">
        <f t="array" ref="G15">IFERROR(IF(ISNUMBER(INDEX(정량지표상세!$C$2:$C$24, MATCH(1, (정량지표상세!$A$2:$A$24=$A15) * (정량지표상세!$B$2:$B$24=G$2), 0))),
    SUMIFS(정량지표상세!$C$2:$C$24, 정량지표상세!$A$2:$A$24, $A15, 정량지표상세!$B$2:$B$24, G$2),
    INDEX(정량지표상세!$C$2:$C$24, MATCH(1, (정량지표상세!$A$2:$A$24=$A15) * (정량지표상세!$B$2:$B$24=G$2), 0))),"")</f>
        <v/>
      </c>
      <c r="H15" s="22" t="str" cm="1">
        <f t="array" ref="H15">IFERROR(IF(ISNUMBER(INDEX(정량지표상세!$C$2:$C$24, MATCH(1, (정량지표상세!$A$2:$A$24=$A15) * (정량지표상세!$B$2:$B$24=H$2), 0))),
    SUMIFS(정량지표상세!$C$2:$C$24, 정량지표상세!$A$2:$A$24, $A15, 정량지표상세!$B$2:$B$24, H$2),
    INDEX(정량지표상세!$C$2:$C$24, MATCH(1, (정량지표상세!$A$2:$A$24=$A15) * (정량지표상세!$B$2:$B$24=H$2), 0))),"")</f>
        <v/>
      </c>
      <c r="I15" s="22" t="str">
        <f t="shared" si="0"/>
        <v/>
      </c>
      <c r="J15" s="22" t="str">
        <f t="shared" si="1"/>
        <v/>
      </c>
    </row>
    <row r="16" spans="1:10" x14ac:dyDescent="0.4">
      <c r="A16" s="21"/>
      <c r="B16" s="21"/>
      <c r="C16" s="21"/>
      <c r="D16" s="21"/>
      <c r="E16" s="21"/>
      <c r="F16" s="21"/>
      <c r="G16" s="22" t="str" cm="1">
        <f t="array" ref="G16">IFERROR(IF(ISNUMBER(INDEX(정량지표상세!$C$2:$C$24, MATCH(1, (정량지표상세!$A$2:$A$24=$A16) * (정량지표상세!$B$2:$B$24=G$2), 0))),
    SUMIFS(정량지표상세!$C$2:$C$24, 정량지표상세!$A$2:$A$24, $A16, 정량지표상세!$B$2:$B$24, G$2),
    INDEX(정량지표상세!$C$2:$C$24, MATCH(1, (정량지표상세!$A$2:$A$24=$A16) * (정량지표상세!$B$2:$B$24=G$2), 0))),"")</f>
        <v/>
      </c>
      <c r="H16" s="22" t="str" cm="1">
        <f t="array" ref="H16">IFERROR(IF(ISNUMBER(INDEX(정량지표상세!$C$2:$C$24, MATCH(1, (정량지표상세!$A$2:$A$24=$A16) * (정량지표상세!$B$2:$B$24=H$2), 0))),
    SUMIFS(정량지표상세!$C$2:$C$24, 정량지표상세!$A$2:$A$24, $A16, 정량지표상세!$B$2:$B$24, H$2),
    INDEX(정량지표상세!$C$2:$C$24, MATCH(1, (정량지표상세!$A$2:$A$24=$A16) * (정량지표상세!$B$2:$B$24=H$2), 0))),"")</f>
        <v/>
      </c>
      <c r="I16" s="22" t="str">
        <f t="shared" si="0"/>
        <v/>
      </c>
      <c r="J16" s="22" t="str">
        <f t="shared" si="1"/>
        <v/>
      </c>
    </row>
    <row r="17" spans="1:10" x14ac:dyDescent="0.4">
      <c r="A17" s="21"/>
      <c r="B17" s="21"/>
      <c r="C17" s="21"/>
      <c r="D17" s="21"/>
      <c r="E17" s="21"/>
      <c r="F17" s="21"/>
      <c r="G17" s="22" t="str" cm="1">
        <f t="array" ref="G17">IFERROR(IF(ISNUMBER(INDEX(정량지표상세!$C$2:$C$24, MATCH(1, (정량지표상세!$A$2:$A$24=$A17) * (정량지표상세!$B$2:$B$24=G$2), 0))),
    SUMIFS(정량지표상세!$C$2:$C$24, 정량지표상세!$A$2:$A$24, $A17, 정량지표상세!$B$2:$B$24, G$2),
    INDEX(정량지표상세!$C$2:$C$24, MATCH(1, (정량지표상세!$A$2:$A$24=$A17) * (정량지표상세!$B$2:$B$24=G$2), 0))),"")</f>
        <v/>
      </c>
      <c r="H17" s="22" t="str" cm="1">
        <f t="array" ref="H17">IFERROR(IF(ISNUMBER(INDEX(정량지표상세!$C$2:$C$24, MATCH(1, (정량지표상세!$A$2:$A$24=$A17) * (정량지표상세!$B$2:$B$24=H$2), 0))),
    SUMIFS(정량지표상세!$C$2:$C$24, 정량지표상세!$A$2:$A$24, $A17, 정량지표상세!$B$2:$B$24, H$2),
    INDEX(정량지표상세!$C$2:$C$24, MATCH(1, (정량지표상세!$A$2:$A$24=$A17) * (정량지표상세!$B$2:$B$24=H$2), 0))),"")</f>
        <v/>
      </c>
      <c r="I17" s="22" t="str">
        <f t="shared" si="0"/>
        <v/>
      </c>
      <c r="J17" s="22" t="str">
        <f t="shared" si="1"/>
        <v/>
      </c>
    </row>
    <row r="18" spans="1:10" x14ac:dyDescent="0.4">
      <c r="A18" s="21"/>
      <c r="B18" s="21"/>
      <c r="C18" s="21"/>
      <c r="D18" s="21"/>
      <c r="E18" s="21"/>
      <c r="F18" s="21"/>
      <c r="G18" s="22" t="str" cm="1">
        <f t="array" ref="G18">IFERROR(IF(ISNUMBER(INDEX(정량지표상세!$C$2:$C$24, MATCH(1, (정량지표상세!$A$2:$A$24=$A18) * (정량지표상세!$B$2:$B$24=G$2), 0))),
    SUMIFS(정량지표상세!$C$2:$C$24, 정량지표상세!$A$2:$A$24, $A18, 정량지표상세!$B$2:$B$24, G$2),
    INDEX(정량지표상세!$C$2:$C$24, MATCH(1, (정량지표상세!$A$2:$A$24=$A18) * (정량지표상세!$B$2:$B$24=G$2), 0))),"")</f>
        <v/>
      </c>
      <c r="H18" s="22" t="str" cm="1">
        <f t="array" ref="H18">IFERROR(IF(ISNUMBER(INDEX(정량지표상세!$C$2:$C$24, MATCH(1, (정량지표상세!$A$2:$A$24=$A18) * (정량지표상세!$B$2:$B$24=H$2), 0))),
    SUMIFS(정량지표상세!$C$2:$C$24, 정량지표상세!$A$2:$A$24, $A18, 정량지표상세!$B$2:$B$24, H$2),
    INDEX(정량지표상세!$C$2:$C$24, MATCH(1, (정량지표상세!$A$2:$A$24=$A18) * (정량지표상세!$B$2:$B$24=H$2), 0))),"")</f>
        <v/>
      </c>
      <c r="I18" s="22" t="str">
        <f t="shared" si="0"/>
        <v/>
      </c>
      <c r="J18" s="22" t="str">
        <f t="shared" si="1"/>
        <v/>
      </c>
    </row>
    <row r="19" spans="1:10" x14ac:dyDescent="0.4">
      <c r="A19" s="21"/>
      <c r="B19" s="21"/>
      <c r="C19" s="21"/>
      <c r="D19" s="21"/>
      <c r="E19" s="21"/>
      <c r="F19" s="21"/>
      <c r="G19" s="22" t="str" cm="1">
        <f t="array" ref="G19">IFERROR(IF(ISNUMBER(INDEX(정량지표상세!$C$2:$C$24, MATCH(1, (정량지표상세!$A$2:$A$24=$A19) * (정량지표상세!$B$2:$B$24=G$2), 0))),
    SUMIFS(정량지표상세!$C$2:$C$24, 정량지표상세!$A$2:$A$24, $A19, 정량지표상세!$B$2:$B$24, G$2),
    INDEX(정량지표상세!$C$2:$C$24, MATCH(1, (정량지표상세!$A$2:$A$24=$A19) * (정량지표상세!$B$2:$B$24=G$2), 0))),"")</f>
        <v/>
      </c>
      <c r="H19" s="22" t="str" cm="1">
        <f t="array" ref="H19">IFERROR(IF(ISNUMBER(INDEX(정량지표상세!$C$2:$C$24, MATCH(1, (정량지표상세!$A$2:$A$24=$A19) * (정량지표상세!$B$2:$B$24=H$2), 0))),
    SUMIFS(정량지표상세!$C$2:$C$24, 정량지표상세!$A$2:$A$24, $A19, 정량지표상세!$B$2:$B$24, H$2),
    INDEX(정량지표상세!$C$2:$C$24, MATCH(1, (정량지표상세!$A$2:$A$24=$A19) * (정량지표상세!$B$2:$B$24=H$2), 0))),"")</f>
        <v/>
      </c>
      <c r="I19" s="22" t="str">
        <f t="shared" si="0"/>
        <v/>
      </c>
      <c r="J19" s="22" t="str">
        <f t="shared" si="1"/>
        <v/>
      </c>
    </row>
    <row r="20" spans="1:10" x14ac:dyDescent="0.4">
      <c r="A20" s="21"/>
      <c r="B20" s="21"/>
      <c r="C20" s="21"/>
      <c r="D20" s="21"/>
      <c r="E20" s="21"/>
      <c r="F20" s="21"/>
      <c r="G20" s="22" t="str" cm="1">
        <f t="array" ref="G20">IFERROR(IF(ISNUMBER(INDEX(정량지표상세!$C$2:$C$24, MATCH(1, (정량지표상세!$A$2:$A$24=$A20) * (정량지표상세!$B$2:$B$24=G$2), 0))),
    SUMIFS(정량지표상세!$C$2:$C$24, 정량지표상세!$A$2:$A$24, $A20, 정량지표상세!$B$2:$B$24, G$2),
    INDEX(정량지표상세!$C$2:$C$24, MATCH(1, (정량지표상세!$A$2:$A$24=$A20) * (정량지표상세!$B$2:$B$24=G$2), 0))),"")</f>
        <v/>
      </c>
      <c r="H20" s="22" t="str" cm="1">
        <f t="array" ref="H20">IFERROR(IF(ISNUMBER(INDEX(정량지표상세!$C$2:$C$24, MATCH(1, (정량지표상세!$A$2:$A$24=$A20) * (정량지표상세!$B$2:$B$24=H$2), 0))),
    SUMIFS(정량지표상세!$C$2:$C$24, 정량지표상세!$A$2:$A$24, $A20, 정량지표상세!$B$2:$B$24, H$2),
    INDEX(정량지표상세!$C$2:$C$24, MATCH(1, (정량지표상세!$A$2:$A$24=$A20) * (정량지표상세!$B$2:$B$24=H$2), 0))),"")</f>
        <v/>
      </c>
      <c r="I20" s="22" t="str">
        <f t="shared" si="0"/>
        <v/>
      </c>
      <c r="J20" s="22" t="str">
        <f t="shared" si="1"/>
        <v/>
      </c>
    </row>
    <row r="21" spans="1:10" x14ac:dyDescent="0.4">
      <c r="A21" s="21"/>
      <c r="B21" s="21"/>
      <c r="C21" s="21"/>
      <c r="D21" s="21"/>
      <c r="E21" s="21"/>
      <c r="F21" s="21"/>
      <c r="G21" s="22" t="str" cm="1">
        <f t="array" ref="G21">IFERROR(IF(ISNUMBER(INDEX(정량지표상세!$C$2:$C$24, MATCH(1, (정량지표상세!$A$2:$A$24=$A21) * (정량지표상세!$B$2:$B$24=G$2), 0))),
    SUMIFS(정량지표상세!$C$2:$C$24, 정량지표상세!$A$2:$A$24, $A21, 정량지표상세!$B$2:$B$24, G$2),
    INDEX(정량지표상세!$C$2:$C$24, MATCH(1, (정량지표상세!$A$2:$A$24=$A21) * (정량지표상세!$B$2:$B$24=G$2), 0))),"")</f>
        <v/>
      </c>
      <c r="H21" s="22" t="str" cm="1">
        <f t="array" ref="H21">IFERROR(IF(ISNUMBER(INDEX(정량지표상세!$C$2:$C$24, MATCH(1, (정량지표상세!$A$2:$A$24=$A21) * (정량지표상세!$B$2:$B$24=H$2), 0))),
    SUMIFS(정량지표상세!$C$2:$C$24, 정량지표상세!$A$2:$A$24, $A21, 정량지표상세!$B$2:$B$24, H$2),
    INDEX(정량지표상세!$C$2:$C$24, MATCH(1, (정량지표상세!$A$2:$A$24=$A21) * (정량지표상세!$B$2:$B$24=H$2), 0))),"")</f>
        <v/>
      </c>
      <c r="I21" s="22" t="str">
        <f t="shared" si="0"/>
        <v/>
      </c>
      <c r="J21" s="22" t="str">
        <f t="shared" si="1"/>
        <v/>
      </c>
    </row>
    <row r="22" spans="1:10" x14ac:dyDescent="0.4">
      <c r="A22" s="21"/>
      <c r="B22" s="21"/>
      <c r="C22" s="21"/>
      <c r="D22" s="21"/>
      <c r="E22" s="21"/>
      <c r="F22" s="21"/>
      <c r="G22" s="22" t="str" cm="1">
        <f t="array" ref="G22">IFERROR(IF(ISNUMBER(INDEX(정량지표상세!$C$2:$C$24, MATCH(1, (정량지표상세!$A$2:$A$24=$A22) * (정량지표상세!$B$2:$B$24=G$2), 0))),
    SUMIFS(정량지표상세!$C$2:$C$24, 정량지표상세!$A$2:$A$24, $A22, 정량지표상세!$B$2:$B$24, G$2),
    INDEX(정량지표상세!$C$2:$C$24, MATCH(1, (정량지표상세!$A$2:$A$24=$A22) * (정량지표상세!$B$2:$B$24=G$2), 0))),"")</f>
        <v/>
      </c>
      <c r="H22" s="22" t="str" cm="1">
        <f t="array" ref="H22">IFERROR(IF(ISNUMBER(INDEX(정량지표상세!$C$2:$C$24, MATCH(1, (정량지표상세!$A$2:$A$24=$A22) * (정량지표상세!$B$2:$B$24=H$2), 0))),
    SUMIFS(정량지표상세!$C$2:$C$24, 정량지표상세!$A$2:$A$24, $A22, 정량지표상세!$B$2:$B$24, H$2),
    INDEX(정량지표상세!$C$2:$C$24, MATCH(1, (정량지표상세!$A$2:$A$24=$A22) * (정량지표상세!$B$2:$B$24=H$2), 0))),"")</f>
        <v/>
      </c>
      <c r="I22" s="22" t="str">
        <f t="shared" si="0"/>
        <v/>
      </c>
      <c r="J22" s="22" t="str">
        <f t="shared" si="1"/>
        <v/>
      </c>
    </row>
    <row r="23" spans="1:10" x14ac:dyDescent="0.4">
      <c r="A23" s="21"/>
      <c r="B23" s="21"/>
      <c r="C23" s="21"/>
      <c r="D23" s="21"/>
      <c r="E23" s="21"/>
      <c r="F23" s="21"/>
      <c r="G23" s="22" t="str" cm="1">
        <f t="array" ref="G23">IFERROR(IF(ISNUMBER(INDEX(정량지표상세!$C$2:$C$24, MATCH(1, (정량지표상세!$A$2:$A$24=$A23) * (정량지표상세!$B$2:$B$24=G$2), 0))),
    SUMIFS(정량지표상세!$C$2:$C$24, 정량지표상세!$A$2:$A$24, $A23, 정량지표상세!$B$2:$B$24, G$2),
    INDEX(정량지표상세!$C$2:$C$24, MATCH(1, (정량지표상세!$A$2:$A$24=$A23) * (정량지표상세!$B$2:$B$24=G$2), 0))),"")</f>
        <v/>
      </c>
      <c r="H23" s="22" t="str" cm="1">
        <f t="array" ref="H23">IFERROR(IF(ISNUMBER(INDEX(정량지표상세!$C$2:$C$24, MATCH(1, (정량지표상세!$A$2:$A$24=$A23) * (정량지표상세!$B$2:$B$24=H$2), 0))),
    SUMIFS(정량지표상세!$C$2:$C$24, 정량지표상세!$A$2:$A$24, $A23, 정량지표상세!$B$2:$B$24, H$2),
    INDEX(정량지표상세!$C$2:$C$24, MATCH(1, (정량지표상세!$A$2:$A$24=$A23) * (정량지표상세!$B$2:$B$24=H$2), 0))),"")</f>
        <v/>
      </c>
      <c r="I23" s="22" t="str">
        <f t="shared" si="0"/>
        <v/>
      </c>
      <c r="J23" s="22" t="str">
        <f t="shared" si="1"/>
        <v/>
      </c>
    </row>
    <row r="24" spans="1:10" x14ac:dyDescent="0.4">
      <c r="A24" s="21"/>
      <c r="B24" s="21"/>
      <c r="C24" s="21"/>
      <c r="D24" s="21"/>
      <c r="E24" s="21"/>
      <c r="F24" s="21"/>
      <c r="G24" s="22" t="str" cm="1">
        <f t="array" ref="G24">IFERROR(IF(ISNUMBER(INDEX(정량지표상세!$C$2:$C$24, MATCH(1, (정량지표상세!$A$2:$A$24=$A24) * (정량지표상세!$B$2:$B$24=G$2), 0))),
    SUMIFS(정량지표상세!$C$2:$C$24, 정량지표상세!$A$2:$A$24, $A24, 정량지표상세!$B$2:$B$24, G$2),
    INDEX(정량지표상세!$C$2:$C$24, MATCH(1, (정량지표상세!$A$2:$A$24=$A24) * (정량지표상세!$B$2:$B$24=G$2), 0))),"")</f>
        <v/>
      </c>
      <c r="H24" s="22" t="str" cm="1">
        <f t="array" ref="H24">IFERROR(IF(ISNUMBER(INDEX(정량지표상세!$C$2:$C$24, MATCH(1, (정량지표상세!$A$2:$A$24=$A24) * (정량지표상세!$B$2:$B$24=H$2), 0))),
    SUMIFS(정량지표상세!$C$2:$C$24, 정량지표상세!$A$2:$A$24, $A24, 정량지표상세!$B$2:$B$24, H$2),
    INDEX(정량지표상세!$C$2:$C$24, MATCH(1, (정량지표상세!$A$2:$A$24=$A24) * (정량지표상세!$B$2:$B$24=H$2), 0))),"")</f>
        <v/>
      </c>
      <c r="I24" s="22" t="str">
        <f t="shared" si="0"/>
        <v/>
      </c>
      <c r="J24" s="22" t="str">
        <f t="shared" si="1"/>
        <v/>
      </c>
    </row>
    <row r="25" spans="1:10" x14ac:dyDescent="0.4">
      <c r="A25" s="21"/>
      <c r="B25" s="21"/>
      <c r="C25" s="21"/>
      <c r="D25" s="21"/>
      <c r="E25" s="21"/>
      <c r="F25" s="21"/>
      <c r="G25" s="22" t="str" cm="1">
        <f t="array" ref="G25">IFERROR(IF(ISNUMBER(INDEX(정량지표상세!$C$2:$C$24, MATCH(1, (정량지표상세!$A$2:$A$24=$A25) * (정량지표상세!$B$2:$B$24=G$2), 0))),
    SUMIFS(정량지표상세!$C$2:$C$24, 정량지표상세!$A$2:$A$24, $A25, 정량지표상세!$B$2:$B$24, G$2),
    INDEX(정량지표상세!$C$2:$C$24, MATCH(1, (정량지표상세!$A$2:$A$24=$A25) * (정량지표상세!$B$2:$B$24=G$2), 0))),"")</f>
        <v/>
      </c>
      <c r="H25" s="22" t="str" cm="1">
        <f t="array" ref="H25">IFERROR(IF(ISNUMBER(INDEX(정량지표상세!$C$2:$C$24, MATCH(1, (정량지표상세!$A$2:$A$24=$A25) * (정량지표상세!$B$2:$B$24=H$2), 0))),
    SUMIFS(정량지표상세!$C$2:$C$24, 정량지표상세!$A$2:$A$24, $A25, 정량지표상세!$B$2:$B$24, H$2),
    INDEX(정량지표상세!$C$2:$C$24, MATCH(1, (정량지표상세!$A$2:$A$24=$A25) * (정량지표상세!$B$2:$B$24=H$2), 0))),"")</f>
        <v/>
      </c>
      <c r="I25" s="22" t="str">
        <f t="shared" si="0"/>
        <v/>
      </c>
      <c r="J25" s="22" t="str">
        <f t="shared" si="1"/>
        <v/>
      </c>
    </row>
    <row r="26" spans="1:10" x14ac:dyDescent="0.4">
      <c r="A26" s="21"/>
      <c r="B26" s="21"/>
      <c r="C26" s="21"/>
      <c r="D26" s="21"/>
      <c r="E26" s="21"/>
      <c r="F26" s="21"/>
      <c r="G26" s="22" t="str" cm="1">
        <f t="array" ref="G26">IFERROR(IF(ISNUMBER(INDEX(정량지표상세!$C$2:$C$24, MATCH(1, (정량지표상세!$A$2:$A$24=$A26) * (정량지표상세!$B$2:$B$24=G$2), 0))),
    SUMIFS(정량지표상세!$C$2:$C$24, 정량지표상세!$A$2:$A$24, $A26, 정량지표상세!$B$2:$B$24, G$2),
    INDEX(정량지표상세!$C$2:$C$24, MATCH(1, (정량지표상세!$A$2:$A$24=$A26) * (정량지표상세!$B$2:$B$24=G$2), 0))),"")</f>
        <v/>
      </c>
      <c r="H26" s="22" t="str" cm="1">
        <f t="array" ref="H26">IFERROR(IF(ISNUMBER(INDEX(정량지표상세!$C$2:$C$24, MATCH(1, (정량지표상세!$A$2:$A$24=$A26) * (정량지표상세!$B$2:$B$24=H$2), 0))),
    SUMIFS(정량지표상세!$C$2:$C$24, 정량지표상세!$A$2:$A$24, $A26, 정량지표상세!$B$2:$B$24, H$2),
    INDEX(정량지표상세!$C$2:$C$24, MATCH(1, (정량지표상세!$A$2:$A$24=$A26) * (정량지표상세!$B$2:$B$24=H$2), 0))),"")</f>
        <v/>
      </c>
      <c r="I26" s="22" t="str">
        <f t="shared" si="0"/>
        <v/>
      </c>
      <c r="J26" s="22" t="str">
        <f t="shared" si="1"/>
        <v/>
      </c>
    </row>
    <row r="27" spans="1:10" x14ac:dyDescent="0.4">
      <c r="A27" s="21"/>
      <c r="B27" s="21"/>
      <c r="C27" s="21"/>
      <c r="D27" s="21"/>
      <c r="E27" s="21"/>
      <c r="F27" s="21"/>
      <c r="G27" s="22" t="str" cm="1">
        <f t="array" ref="G27">IFERROR(IF(ISNUMBER(INDEX(정량지표상세!$C$2:$C$24, MATCH(1, (정량지표상세!$A$2:$A$24=$A27) * (정량지표상세!$B$2:$B$24=G$2), 0))),
    SUMIFS(정량지표상세!$C$2:$C$24, 정량지표상세!$A$2:$A$24, $A27, 정량지표상세!$B$2:$B$24, G$2),
    INDEX(정량지표상세!$C$2:$C$24, MATCH(1, (정량지표상세!$A$2:$A$24=$A27) * (정량지표상세!$B$2:$B$24=G$2), 0))),"")</f>
        <v/>
      </c>
      <c r="H27" s="22" t="str" cm="1">
        <f t="array" ref="H27">IFERROR(IF(ISNUMBER(INDEX(정량지표상세!$C$2:$C$24, MATCH(1, (정량지표상세!$A$2:$A$24=$A27) * (정량지표상세!$B$2:$B$24=H$2), 0))),
    SUMIFS(정량지표상세!$C$2:$C$24, 정량지표상세!$A$2:$A$24, $A27, 정량지표상세!$B$2:$B$24, H$2),
    INDEX(정량지표상세!$C$2:$C$24, MATCH(1, (정량지표상세!$A$2:$A$24=$A27) * (정량지표상세!$B$2:$B$24=H$2), 0))),"")</f>
        <v/>
      </c>
      <c r="I27" s="22" t="str">
        <f t="shared" si="0"/>
        <v/>
      </c>
      <c r="J27" s="22" t="str">
        <f t="shared" si="1"/>
        <v/>
      </c>
    </row>
    <row r="28" spans="1:10" x14ac:dyDescent="0.4">
      <c r="A28" s="21"/>
      <c r="B28" s="21"/>
      <c r="C28" s="21"/>
      <c r="D28" s="21"/>
      <c r="E28" s="21"/>
      <c r="F28" s="21"/>
      <c r="G28" s="22" t="str" cm="1">
        <f t="array" ref="G28">IFERROR(IF(ISNUMBER(INDEX(정량지표상세!$C$2:$C$24, MATCH(1, (정량지표상세!$A$2:$A$24=$A28) * (정량지표상세!$B$2:$B$24=G$2), 0))),
    SUMIFS(정량지표상세!$C$2:$C$24, 정량지표상세!$A$2:$A$24, $A28, 정량지표상세!$B$2:$B$24, G$2),
    INDEX(정량지표상세!$C$2:$C$24, MATCH(1, (정량지표상세!$A$2:$A$24=$A28) * (정량지표상세!$B$2:$B$24=G$2), 0))),"")</f>
        <v/>
      </c>
      <c r="H28" s="22" t="str" cm="1">
        <f t="array" ref="H28">IFERROR(IF(ISNUMBER(INDEX(정량지표상세!$C$2:$C$24, MATCH(1, (정량지표상세!$A$2:$A$24=$A28) * (정량지표상세!$B$2:$B$24=H$2), 0))),
    SUMIFS(정량지표상세!$C$2:$C$24, 정량지표상세!$A$2:$A$24, $A28, 정량지표상세!$B$2:$B$24, H$2),
    INDEX(정량지표상세!$C$2:$C$24, MATCH(1, (정량지표상세!$A$2:$A$24=$A28) * (정량지표상세!$B$2:$B$24=H$2), 0))),"")</f>
        <v/>
      </c>
      <c r="I28" s="22" t="str">
        <f t="shared" si="0"/>
        <v/>
      </c>
      <c r="J28" s="22" t="str">
        <f t="shared" si="1"/>
        <v/>
      </c>
    </row>
    <row r="29" spans="1:10" x14ac:dyDescent="0.4">
      <c r="A29" s="21"/>
      <c r="B29" s="21"/>
      <c r="C29" s="21"/>
      <c r="D29" s="21"/>
      <c r="E29" s="21"/>
      <c r="F29" s="21"/>
      <c r="G29" s="22" t="str" cm="1">
        <f t="array" ref="G29">IFERROR(IF(ISNUMBER(INDEX(정량지표상세!$C$2:$C$24, MATCH(1, (정량지표상세!$A$2:$A$24=$A29) * (정량지표상세!$B$2:$B$24=G$2), 0))),
    SUMIFS(정량지표상세!$C$2:$C$24, 정량지표상세!$A$2:$A$24, $A29, 정량지표상세!$B$2:$B$24, G$2),
    INDEX(정량지표상세!$C$2:$C$24, MATCH(1, (정량지표상세!$A$2:$A$24=$A29) * (정량지표상세!$B$2:$B$24=G$2), 0))),"")</f>
        <v/>
      </c>
      <c r="H29" s="22" t="str" cm="1">
        <f t="array" ref="H29">IFERROR(IF(ISNUMBER(INDEX(정량지표상세!$C$2:$C$24, MATCH(1, (정량지표상세!$A$2:$A$24=$A29) * (정량지표상세!$B$2:$B$24=H$2), 0))),
    SUMIFS(정량지표상세!$C$2:$C$24, 정량지표상세!$A$2:$A$24, $A29, 정량지표상세!$B$2:$B$24, H$2),
    INDEX(정량지표상세!$C$2:$C$24, MATCH(1, (정량지표상세!$A$2:$A$24=$A29) * (정량지표상세!$B$2:$B$24=H$2), 0))),"")</f>
        <v/>
      </c>
      <c r="I29" s="22" t="str">
        <f t="shared" si="0"/>
        <v/>
      </c>
      <c r="J29" s="22" t="str">
        <f t="shared" si="1"/>
        <v/>
      </c>
    </row>
    <row r="30" spans="1:10" x14ac:dyDescent="0.4">
      <c r="A30" s="21"/>
      <c r="B30" s="21"/>
      <c r="C30" s="21"/>
      <c r="D30" s="21"/>
      <c r="E30" s="21"/>
      <c r="F30" s="21"/>
      <c r="G30" s="22" t="str" cm="1">
        <f t="array" ref="G30">IFERROR(IF(ISNUMBER(INDEX(정량지표상세!$C$2:$C$24, MATCH(1, (정량지표상세!$A$2:$A$24=$A30) * (정량지표상세!$B$2:$B$24=G$2), 0))),
    SUMIFS(정량지표상세!$C$2:$C$24, 정량지표상세!$A$2:$A$24, $A30, 정량지표상세!$B$2:$B$24, G$2),
    INDEX(정량지표상세!$C$2:$C$24, MATCH(1, (정량지표상세!$A$2:$A$24=$A30) * (정량지표상세!$B$2:$B$24=G$2), 0))),"")</f>
        <v/>
      </c>
      <c r="H30" s="22" t="str" cm="1">
        <f t="array" ref="H30">IFERROR(IF(ISNUMBER(INDEX(정량지표상세!$C$2:$C$24, MATCH(1, (정량지표상세!$A$2:$A$24=$A30) * (정량지표상세!$B$2:$B$24=H$2), 0))),
    SUMIFS(정량지표상세!$C$2:$C$24, 정량지표상세!$A$2:$A$24, $A30, 정량지표상세!$B$2:$B$24, H$2),
    INDEX(정량지표상세!$C$2:$C$24, MATCH(1, (정량지표상세!$A$2:$A$24=$A30) * (정량지표상세!$B$2:$B$24=H$2), 0))),"")</f>
        <v/>
      </c>
      <c r="I30" s="22" t="str">
        <f t="shared" si="0"/>
        <v/>
      </c>
      <c r="J30" s="22" t="str">
        <f t="shared" si="1"/>
        <v/>
      </c>
    </row>
    <row r="31" spans="1:10" x14ac:dyDescent="0.4">
      <c r="A31" s="21" t="s">
        <v>13</v>
      </c>
      <c r="B31" s="21"/>
      <c r="C31" s="21"/>
      <c r="D31" s="21">
        <f>SUM(D3:D30)</f>
        <v>100</v>
      </c>
      <c r="E31" s="21"/>
      <c r="F31" s="21"/>
      <c r="G31" s="22"/>
      <c r="H31" s="22"/>
      <c r="I31" s="22"/>
      <c r="J31" s="23" t="str">
        <f t="shared" ref="J31" si="2">IF(E31="","",
   IF(ISNUMBER(E31),
      IF(N(G31)/E31&gt;=1,"달성","미달성"),
      IF(E31=G31,"달성","미달성")
   )
)</f>
        <v/>
      </c>
    </row>
  </sheetData>
  <mergeCells count="7">
    <mergeCell ref="A1:A2"/>
    <mergeCell ref="B1:B2"/>
    <mergeCell ref="C1:C2"/>
    <mergeCell ref="D1:D2"/>
    <mergeCell ref="I1:J1"/>
    <mergeCell ref="G1:H1"/>
    <mergeCell ref="E1:F1"/>
  </mergeCells>
  <phoneticPr fontId="2" type="noConversion"/>
  <conditionalFormatting sqref="J31">
    <cfRule type="cellIs" dxfId="6" priority="1" operator="equal">
      <formula>"달성"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18F7-66B6-4E76-8669-E8C6B5F0079F}">
  <dimension ref="A1:D50"/>
  <sheetViews>
    <sheetView workbookViewId="0">
      <selection activeCell="A2" sqref="A2:E7"/>
    </sheetView>
  </sheetViews>
  <sheetFormatPr defaultRowHeight="10.8" x14ac:dyDescent="0.4"/>
  <cols>
    <col min="1" max="1" width="54.59765625" style="17" bestFit="1" customWidth="1"/>
    <col min="2" max="2" width="11.296875" style="17" bestFit="1" customWidth="1"/>
    <col min="3" max="3" width="9.09765625" style="17" bestFit="1" customWidth="1"/>
    <col min="4" max="4" width="8.5" style="17" bestFit="1" customWidth="1"/>
    <col min="5" max="16384" width="8.796875" style="17"/>
  </cols>
  <sheetData>
    <row r="1" spans="1:4" x14ac:dyDescent="0.4">
      <c r="A1" s="16" t="s">
        <v>17</v>
      </c>
      <c r="B1" s="16" t="s">
        <v>14</v>
      </c>
      <c r="C1" s="16" t="s">
        <v>15</v>
      </c>
      <c r="D1" s="16" t="s">
        <v>12</v>
      </c>
    </row>
    <row r="2" spans="1:4" x14ac:dyDescent="0.4">
      <c r="A2" s="18"/>
      <c r="B2" s="18"/>
      <c r="C2" s="18"/>
      <c r="D2" s="18"/>
    </row>
    <row r="3" spans="1:4" x14ac:dyDescent="0.4">
      <c r="A3" s="18"/>
      <c r="B3" s="18"/>
      <c r="C3" s="18"/>
      <c r="D3" s="18"/>
    </row>
    <row r="4" spans="1:4" x14ac:dyDescent="0.4">
      <c r="A4" s="18"/>
      <c r="B4" s="18"/>
      <c r="C4" s="18"/>
      <c r="D4" s="18"/>
    </row>
    <row r="5" spans="1:4" x14ac:dyDescent="0.4">
      <c r="A5" s="18"/>
      <c r="B5" s="18"/>
      <c r="C5" s="18"/>
      <c r="D5" s="18"/>
    </row>
    <row r="6" spans="1:4" x14ac:dyDescent="0.4">
      <c r="A6" s="18"/>
      <c r="B6" s="18"/>
      <c r="C6" s="18"/>
      <c r="D6" s="18"/>
    </row>
    <row r="7" spans="1:4" x14ac:dyDescent="0.4">
      <c r="A7" s="18"/>
      <c r="B7" s="18"/>
      <c r="C7" s="18"/>
      <c r="D7" s="18"/>
    </row>
    <row r="8" spans="1:4" x14ac:dyDescent="0.4">
      <c r="A8" s="18"/>
      <c r="B8" s="18"/>
      <c r="C8" s="18"/>
      <c r="D8" s="18"/>
    </row>
    <row r="9" spans="1:4" x14ac:dyDescent="0.4">
      <c r="A9" s="18"/>
      <c r="B9" s="18"/>
      <c r="C9" s="18"/>
      <c r="D9" s="18"/>
    </row>
    <row r="10" spans="1:4" x14ac:dyDescent="0.4">
      <c r="A10" s="18"/>
      <c r="B10" s="18"/>
      <c r="C10" s="18"/>
      <c r="D10" s="18"/>
    </row>
    <row r="11" spans="1:4" x14ac:dyDescent="0.4">
      <c r="A11" s="18"/>
      <c r="B11" s="18"/>
      <c r="C11" s="18"/>
      <c r="D11" s="18"/>
    </row>
    <row r="12" spans="1:4" x14ac:dyDescent="0.4">
      <c r="A12" s="18"/>
      <c r="B12" s="18"/>
      <c r="C12" s="18"/>
      <c r="D12" s="18"/>
    </row>
    <row r="13" spans="1:4" x14ac:dyDescent="0.4">
      <c r="A13" s="18"/>
      <c r="B13" s="18"/>
      <c r="C13" s="18"/>
      <c r="D13" s="18"/>
    </row>
    <row r="14" spans="1:4" x14ac:dyDescent="0.4">
      <c r="A14" s="18"/>
      <c r="B14" s="18"/>
      <c r="C14" s="18"/>
      <c r="D14" s="18"/>
    </row>
    <row r="15" spans="1:4" x14ac:dyDescent="0.4">
      <c r="A15" s="18"/>
      <c r="B15" s="18"/>
      <c r="C15" s="18"/>
      <c r="D15" s="18"/>
    </row>
    <row r="16" spans="1:4" x14ac:dyDescent="0.4">
      <c r="A16" s="18"/>
      <c r="B16" s="18"/>
      <c r="C16" s="18"/>
      <c r="D16" s="18"/>
    </row>
    <row r="17" spans="1:4" x14ac:dyDescent="0.4">
      <c r="A17" s="18"/>
      <c r="B17" s="18"/>
      <c r="C17" s="18"/>
      <c r="D17" s="18"/>
    </row>
    <row r="18" spans="1:4" x14ac:dyDescent="0.4">
      <c r="A18" s="18"/>
      <c r="B18" s="18"/>
      <c r="C18" s="18"/>
      <c r="D18" s="18"/>
    </row>
    <row r="19" spans="1:4" x14ac:dyDescent="0.4">
      <c r="A19" s="18"/>
      <c r="B19" s="18"/>
      <c r="C19" s="18"/>
      <c r="D19" s="18"/>
    </row>
    <row r="20" spans="1:4" x14ac:dyDescent="0.4">
      <c r="A20" s="18"/>
      <c r="B20" s="18"/>
      <c r="C20" s="18"/>
      <c r="D20" s="18"/>
    </row>
    <row r="21" spans="1:4" x14ac:dyDescent="0.4">
      <c r="A21" s="18"/>
      <c r="B21" s="18"/>
      <c r="C21" s="18"/>
      <c r="D21" s="18"/>
    </row>
    <row r="22" spans="1:4" x14ac:dyDescent="0.4">
      <c r="A22" s="18"/>
      <c r="B22" s="18"/>
      <c r="C22" s="18"/>
      <c r="D22" s="18"/>
    </row>
    <row r="23" spans="1:4" x14ac:dyDescent="0.4">
      <c r="A23" s="18"/>
      <c r="B23" s="18"/>
      <c r="C23" s="18"/>
      <c r="D23" s="18"/>
    </row>
    <row r="24" spans="1:4" x14ac:dyDescent="0.4">
      <c r="A24" s="18"/>
      <c r="B24" s="18"/>
      <c r="C24" s="18"/>
      <c r="D24" s="18"/>
    </row>
    <row r="25" spans="1:4" x14ac:dyDescent="0.4">
      <c r="A25" s="18"/>
      <c r="B25" s="18"/>
      <c r="C25" s="18"/>
      <c r="D25" s="18"/>
    </row>
    <row r="26" spans="1:4" x14ac:dyDescent="0.4">
      <c r="A26" s="18"/>
      <c r="B26" s="18"/>
      <c r="C26" s="18"/>
      <c r="D26" s="18"/>
    </row>
    <row r="27" spans="1:4" x14ac:dyDescent="0.4">
      <c r="A27" s="18"/>
      <c r="B27" s="18"/>
      <c r="C27" s="18"/>
      <c r="D27" s="18"/>
    </row>
    <row r="28" spans="1:4" x14ac:dyDescent="0.4">
      <c r="A28" s="18"/>
      <c r="B28" s="18"/>
      <c r="C28" s="18"/>
      <c r="D28" s="18"/>
    </row>
    <row r="29" spans="1:4" x14ac:dyDescent="0.4">
      <c r="A29" s="18"/>
      <c r="B29" s="18"/>
      <c r="C29" s="18"/>
      <c r="D29" s="18"/>
    </row>
    <row r="30" spans="1:4" x14ac:dyDescent="0.4">
      <c r="A30" s="18"/>
      <c r="B30" s="18"/>
      <c r="C30" s="18"/>
      <c r="D30" s="18"/>
    </row>
    <row r="31" spans="1:4" x14ac:dyDescent="0.4">
      <c r="A31" s="18"/>
      <c r="B31" s="18"/>
      <c r="C31" s="18"/>
      <c r="D31" s="18"/>
    </row>
    <row r="32" spans="1:4" x14ac:dyDescent="0.4">
      <c r="A32" s="18"/>
      <c r="B32" s="18"/>
      <c r="C32" s="18"/>
      <c r="D32" s="18"/>
    </row>
    <row r="33" spans="1:4" x14ac:dyDescent="0.4">
      <c r="A33" s="18"/>
      <c r="B33" s="18"/>
      <c r="C33" s="18"/>
      <c r="D33" s="18"/>
    </row>
    <row r="34" spans="1:4" x14ac:dyDescent="0.4">
      <c r="A34" s="18"/>
      <c r="B34" s="18"/>
      <c r="C34" s="18"/>
      <c r="D34" s="18"/>
    </row>
    <row r="35" spans="1:4" x14ac:dyDescent="0.4">
      <c r="A35" s="18"/>
      <c r="B35" s="18"/>
      <c r="C35" s="18"/>
      <c r="D35" s="18"/>
    </row>
    <row r="36" spans="1:4" x14ac:dyDescent="0.4">
      <c r="A36" s="18"/>
      <c r="B36" s="18"/>
      <c r="C36" s="18"/>
      <c r="D36" s="18"/>
    </row>
    <row r="37" spans="1:4" x14ac:dyDescent="0.4">
      <c r="A37" s="18"/>
      <c r="B37" s="18"/>
      <c r="C37" s="18"/>
      <c r="D37" s="18"/>
    </row>
    <row r="38" spans="1:4" x14ac:dyDescent="0.4">
      <c r="A38" s="18"/>
      <c r="B38" s="18"/>
      <c r="C38" s="18"/>
      <c r="D38" s="18"/>
    </row>
    <row r="39" spans="1:4" x14ac:dyDescent="0.4">
      <c r="A39" s="18"/>
      <c r="B39" s="18"/>
      <c r="C39" s="18"/>
      <c r="D39" s="18"/>
    </row>
    <row r="40" spans="1:4" x14ac:dyDescent="0.4">
      <c r="A40" s="18"/>
      <c r="B40" s="18"/>
      <c r="C40" s="18"/>
      <c r="D40" s="18"/>
    </row>
    <row r="41" spans="1:4" x14ac:dyDescent="0.4">
      <c r="A41" s="18"/>
      <c r="B41" s="18"/>
      <c r="C41" s="18"/>
      <c r="D41" s="18"/>
    </row>
    <row r="42" spans="1:4" x14ac:dyDescent="0.4">
      <c r="A42" s="18"/>
      <c r="B42" s="18"/>
      <c r="C42" s="18"/>
      <c r="D42" s="18"/>
    </row>
    <row r="43" spans="1:4" x14ac:dyDescent="0.4">
      <c r="A43" s="18"/>
      <c r="B43" s="18"/>
      <c r="C43" s="18"/>
      <c r="D43" s="18"/>
    </row>
    <row r="44" spans="1:4" x14ac:dyDescent="0.4">
      <c r="A44" s="18"/>
      <c r="B44" s="18"/>
      <c r="C44" s="18"/>
      <c r="D44" s="18"/>
    </row>
    <row r="45" spans="1:4" x14ac:dyDescent="0.4">
      <c r="A45" s="18"/>
      <c r="B45" s="18"/>
      <c r="C45" s="18"/>
      <c r="D45" s="18"/>
    </row>
    <row r="46" spans="1:4" x14ac:dyDescent="0.4">
      <c r="A46" s="18"/>
      <c r="B46" s="18"/>
      <c r="C46" s="18"/>
      <c r="D46" s="18"/>
    </row>
    <row r="47" spans="1:4" x14ac:dyDescent="0.4">
      <c r="A47" s="18"/>
      <c r="B47" s="18"/>
      <c r="C47" s="18"/>
      <c r="D47" s="18"/>
    </row>
    <row r="48" spans="1:4" x14ac:dyDescent="0.4">
      <c r="A48" s="18"/>
      <c r="B48" s="18"/>
      <c r="C48" s="18"/>
      <c r="D48" s="18"/>
    </row>
    <row r="49" spans="1:4" x14ac:dyDescent="0.4">
      <c r="A49" s="18"/>
      <c r="B49" s="18"/>
      <c r="C49" s="18"/>
      <c r="D49" s="18"/>
    </row>
    <row r="50" spans="1:4" x14ac:dyDescent="0.4">
      <c r="A50" s="18"/>
      <c r="B50" s="18"/>
      <c r="C50" s="18"/>
      <c r="D50" s="18"/>
    </row>
  </sheetData>
  <phoneticPr fontId="2" type="noConversion"/>
  <conditionalFormatting sqref="A2:D50">
    <cfRule type="expression" dxfId="5" priority="1">
      <formula>OR($B2="2단계 3연차", $B2="3단계 3연차")</formula>
    </cfRule>
    <cfRule type="expression" dxfId="4" priority="2">
      <formula>OR($B2="2단계 2연차", $B2="3단계 2연차")</formula>
    </cfRule>
    <cfRule type="expression" dxfId="3" priority="3">
      <formula>OR($B2="2단계 1연차", $B2="3단계 1연차")</formula>
    </cfRule>
    <cfRule type="expression" dxfId="2" priority="4">
      <formula>OR($B2="0단계 3연차", $B2="1단계 3연차")</formula>
    </cfRule>
    <cfRule type="expression" dxfId="1" priority="5">
      <formula>OR($B2="0단계 2연차", $B2="1단계 2연차")</formula>
    </cfRule>
    <cfRule type="expression" dxfId="0" priority="6">
      <formula>OR($B2="0단계 1연차", $B2="1단계 1연차")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0C646E-5367-4D64-81B5-92B0C3F2072A}">
          <x14:formula1>
            <xm:f>정량지표!$A$3:$A$30</xm:f>
          </x14:formula1>
          <xm:sqref>A2:A32</xm:sqref>
        </x14:dataValidation>
        <x14:dataValidation type="list" allowBlank="1" showInputMessage="1" showErrorMessage="1" xr:uid="{7F1AA64A-1E17-4A37-91B7-C07A673F52E3}">
          <x14:formula1>
            <xm:f>개요!#REF!</xm:f>
          </x14:formula1>
          <xm:sqref>B2:B24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F46B1-1C2E-4944-B853-A8E0806F4ED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56e23fd-9f3a-45ef-a5a1-aa2bcc2ee111}" enabled="1" method="Standard" siteId="{0e0de970-ba32-48a4-a048-99d48e6eb2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</vt:lpstr>
      <vt:lpstr>마일스톤</vt:lpstr>
      <vt:lpstr>정량지표</vt:lpstr>
      <vt:lpstr>정량지표상세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박인영 (Inyeong Park)</dc:creator>
  <cp:keywords/>
  <dc:description/>
  <cp:lastModifiedBy>박인영 (Inyeong Park)</cp:lastModifiedBy>
  <cp:revision/>
  <dcterms:created xsi:type="dcterms:W3CDTF">2026-04-08T23:12:00Z</dcterms:created>
  <dcterms:modified xsi:type="dcterms:W3CDTF">2026-06-04T01:05:51Z</dcterms:modified>
  <cp:category/>
  <cp:contentStatus/>
</cp:coreProperties>
</file>