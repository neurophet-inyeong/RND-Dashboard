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64FEDFA6-17ED-40E6-AE15-B8F04E1175D2}" xr6:coauthVersionLast="47" xr6:coauthVersionMax="47" xr10:uidLastSave="{00000000-0000-0000-0000-000000000000}"/>
  <bookViews>
    <workbookView xWindow="28680" yWindow="-120" windowWidth="29040" windowHeight="15720" activeTab="3" xr2:uid="{B8D78CEB-D3AC-4A62-AA68-81CAD437EBFB}"/>
  </bookViews>
  <sheets>
    <sheet name="개요" sheetId="1" r:id="rId1"/>
    <sheet name="사업비" sheetId="3" r:id="rId2"/>
    <sheet name="마일스톤" sheetId="4" r:id="rId3"/>
    <sheet name="정량지표" sheetId="5" r:id="rId4"/>
    <sheet name="정량지표상세" sheetId="6" r:id="rId5"/>
  </sheet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5" l="1"/>
  <c r="O7" i="3"/>
  <c r="N7" i="3"/>
  <c r="J7" i="3"/>
  <c r="I7" i="3"/>
  <c r="H7" i="3"/>
  <c r="G7" i="3"/>
  <c r="F7" i="3"/>
  <c r="M6" i="3"/>
  <c r="L6" i="3"/>
  <c r="K6" i="3"/>
  <c r="E6" i="3" s="1" a="1"/>
  <c r="E6" i="3" s="1"/>
  <c r="J6" i="3"/>
  <c r="D6" i="3"/>
  <c r="M5" i="3"/>
  <c r="L5" i="3"/>
  <c r="K5" i="3"/>
  <c r="E5" i="3" s="1" a="1"/>
  <c r="E5" i="3" s="1"/>
  <c r="J5" i="3"/>
  <c r="D5" i="3"/>
  <c r="L4" i="3"/>
  <c r="K4" i="3"/>
  <c r="E4" i="3" s="1" a="1"/>
  <c r="E4" i="3" s="1"/>
  <c r="J4" i="3"/>
  <c r="D4" i="3"/>
  <c r="L3" i="3"/>
  <c r="K3" i="3"/>
  <c r="M3" i="3" s="1"/>
  <c r="J3" i="3"/>
  <c r="E3" i="3" a="1"/>
  <c r="E3" i="3" s="1"/>
  <c r="D3" i="3"/>
  <c r="M2" i="3"/>
  <c r="L2" i="3"/>
  <c r="L7" i="3" s="1"/>
  <c r="K2" i="3"/>
  <c r="E2" i="3" s="1" a="1"/>
  <c r="E2" i="3" s="1"/>
  <c r="J2" i="3"/>
  <c r="D2" i="3"/>
  <c r="D7" i="3" s="1"/>
  <c r="K7" i="3" l="1"/>
  <c r="E7" i="3" s="1" a="1"/>
  <c r="E7" i="3" s="1"/>
  <c r="M4" i="3"/>
  <c r="M7" i="3" s="1"/>
  <c r="H4" i="5" l="1" a="1"/>
  <c r="H4" i="5" s="1"/>
  <c r="K4" i="5" s="1"/>
  <c r="I4" i="5" a="1"/>
  <c r="I4" i="5" s="1"/>
  <c r="L4" i="5" s="1"/>
  <c r="J4" i="5" a="1"/>
  <c r="J4" i="5" s="1"/>
  <c r="H5" i="5" a="1"/>
  <c r="H5" i="5" s="1"/>
  <c r="K5" i="5" s="1"/>
  <c r="I5" i="5" a="1"/>
  <c r="I5" i="5" s="1"/>
  <c r="J5" i="5" a="1"/>
  <c r="J5" i="5" s="1"/>
  <c r="H6" i="5" a="1"/>
  <c r="H6" i="5" s="1"/>
  <c r="I6" i="5" a="1"/>
  <c r="I6" i="5" s="1"/>
  <c r="L6" i="5" s="1"/>
  <c r="J6" i="5" a="1"/>
  <c r="J6" i="5" s="1"/>
  <c r="M6" i="5" s="1"/>
  <c r="H7" i="5" a="1"/>
  <c r="H7" i="5" s="1"/>
  <c r="I7" i="5" a="1"/>
  <c r="I7" i="5" s="1"/>
  <c r="J7" i="5" a="1"/>
  <c r="J7" i="5" s="1"/>
  <c r="M7" i="5" s="1"/>
  <c r="H8" i="5" a="1"/>
  <c r="H8" i="5" s="1"/>
  <c r="I8" i="5" a="1"/>
  <c r="I8" i="5" s="1"/>
  <c r="J8" i="5" a="1"/>
  <c r="J8" i="5" s="1"/>
  <c r="M8" i="5" s="1"/>
  <c r="H9" i="5" a="1"/>
  <c r="H9" i="5" s="1"/>
  <c r="K9" i="5" s="1"/>
  <c r="I9" i="5" a="1"/>
  <c r="I9" i="5" s="1"/>
  <c r="J9" i="5" a="1"/>
  <c r="J9" i="5" s="1"/>
  <c r="M9" i="5" s="1"/>
  <c r="H10" i="5" a="1"/>
  <c r="H10" i="5" s="1"/>
  <c r="K10" i="5" s="1"/>
  <c r="I10" i="5" a="1"/>
  <c r="I10" i="5" s="1"/>
  <c r="L10" i="5" s="1"/>
  <c r="J10" i="5" a="1"/>
  <c r="J10" i="5" s="1"/>
  <c r="H11" i="5" a="1"/>
  <c r="H11" i="5" s="1"/>
  <c r="I11" i="5" a="1"/>
  <c r="I11" i="5" s="1"/>
  <c r="L11" i="5" s="1"/>
  <c r="J11" i="5" a="1"/>
  <c r="J11" i="5" s="1"/>
  <c r="M11" i="5" s="1"/>
  <c r="H12" i="5" a="1"/>
  <c r="H12" i="5" s="1"/>
  <c r="I12" i="5" a="1"/>
  <c r="I12" i="5" s="1"/>
  <c r="L12" i="5" s="1"/>
  <c r="J12" i="5" a="1"/>
  <c r="J12" i="5" s="1"/>
  <c r="M12" i="5" s="1"/>
  <c r="H13" i="5" a="1"/>
  <c r="H13" i="5" s="1"/>
  <c r="I13" i="5" a="1"/>
  <c r="I13" i="5" s="1"/>
  <c r="L13" i="5" s="1"/>
  <c r="J13" i="5" a="1"/>
  <c r="J13" i="5" s="1"/>
  <c r="M13" i="5" s="1"/>
  <c r="H14" i="5" a="1"/>
  <c r="H14" i="5" s="1"/>
  <c r="I14" i="5" a="1"/>
  <c r="I14" i="5" s="1"/>
  <c r="L14" i="5" s="1"/>
  <c r="J14" i="5" a="1"/>
  <c r="J14" i="5" s="1"/>
  <c r="M14" i="5" s="1"/>
  <c r="H15" i="5" a="1"/>
  <c r="H15" i="5" s="1"/>
  <c r="I15" i="5" a="1"/>
  <c r="I15" i="5" s="1"/>
  <c r="J15" i="5" a="1"/>
  <c r="J15" i="5" s="1"/>
  <c r="H16" i="5" a="1"/>
  <c r="H16" i="5" s="1"/>
  <c r="I16" i="5" a="1"/>
  <c r="I16" i="5" s="1"/>
  <c r="J16" i="5" a="1"/>
  <c r="J16" i="5" s="1"/>
  <c r="M16" i="5" s="1"/>
  <c r="H17" i="5" a="1"/>
  <c r="H17" i="5" s="1"/>
  <c r="I17" i="5" a="1"/>
  <c r="I17" i="5" s="1"/>
  <c r="L17" i="5" s="1"/>
  <c r="J17" i="5" a="1"/>
  <c r="J17" i="5" s="1"/>
  <c r="M17" i="5" s="1"/>
  <c r="H18" i="5" a="1"/>
  <c r="H18" i="5" s="1"/>
  <c r="I18" i="5" a="1"/>
  <c r="I18" i="5" s="1"/>
  <c r="J18" i="5" a="1"/>
  <c r="J18" i="5" s="1"/>
  <c r="M18" i="5" s="1"/>
  <c r="H19" i="5" a="1"/>
  <c r="H19" i="5" s="1"/>
  <c r="K19" i="5" s="1"/>
  <c r="I19" i="5" a="1"/>
  <c r="I19" i="5" s="1"/>
  <c r="L19" i="5" s="1"/>
  <c r="J19" i="5" a="1"/>
  <c r="J19" i="5" s="1"/>
  <c r="M19" i="5" s="1"/>
  <c r="H20" i="5" a="1"/>
  <c r="H20" i="5" s="1"/>
  <c r="I20" i="5" a="1"/>
  <c r="I20" i="5" s="1"/>
  <c r="J20" i="5" a="1"/>
  <c r="J20" i="5" s="1"/>
  <c r="I3" i="5" a="1"/>
  <c r="I3" i="5" s="1"/>
  <c r="L3" i="5" s="1"/>
  <c r="J3" i="5" a="1"/>
  <c r="J3" i="5" s="1"/>
  <c r="M3" i="5" s="1"/>
  <c r="H3" i="5" a="1"/>
  <c r="H3" i="5" s="1"/>
  <c r="K3" i="5" s="1"/>
  <c r="M20" i="5"/>
  <c r="L20" i="5"/>
  <c r="K20" i="5"/>
  <c r="L18" i="5"/>
  <c r="K18" i="5"/>
  <c r="K17" i="5"/>
  <c r="L16" i="5"/>
  <c r="K16" i="5"/>
  <c r="M15" i="5"/>
  <c r="L15" i="5"/>
  <c r="K15" i="5"/>
  <c r="K14" i="5"/>
  <c r="K13" i="5"/>
  <c r="K12" i="5"/>
  <c r="K11" i="5"/>
  <c r="M10" i="5"/>
  <c r="L9" i="5"/>
  <c r="L8" i="5"/>
  <c r="K8" i="5"/>
  <c r="L7" i="5"/>
  <c r="K7" i="5"/>
  <c r="K6" i="5"/>
  <c r="M5" i="5"/>
  <c r="L5" i="5"/>
  <c r="M4" i="5"/>
  <c r="Z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<sst xmlns="http://schemas.openxmlformats.org/spreadsheetml/2006/main" count="169" uniqueCount="101">
  <si>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</si>
  <si>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</si>
  <si>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</si>
  <si>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</si>
  <si>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</si>
  <si>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</si>
  <si>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</si>
  <si>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</si>
  <si>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</si>
  <si>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</si>
  <si>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</si>
  <si>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</si>
  <si>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</si>
  <si>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</si>
  <si>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</si>
  <si>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</si>
  <si>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</si>
  <si>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</si>
  <si>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</si>
  <si>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</si>
  <si>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</si>
  <si>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</si>
  <si>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주관(김동현)</t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</si>
  <si>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</si>
  <si>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</si>
  <si>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</si>
  <si>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</si>
  <si>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</si>
  <si>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</si>
  <si>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</si>
  <si>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</si>
  <si>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</si>
  <si>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</si>
  <si>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</si>
  <si>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</si>
  <si>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1" type="noConversion"/>
  </si>
  <si>
    <t>확인지표</t>
    <phoneticPr fontId="11" type="noConversion"/>
  </si>
  <si>
    <t>지표단위</t>
    <phoneticPr fontId="11" type="noConversion"/>
  </si>
  <si>
    <t>가중치</t>
    <phoneticPr fontId="11" type="noConversion"/>
  </si>
  <si>
    <t>기관명</t>
    <phoneticPr fontId="3" type="noConversion"/>
  </si>
  <si>
    <t>연차별 연구개발 달성률</t>
    <phoneticPr fontId="11" type="noConversion"/>
  </si>
  <si>
    <t>합계</t>
  </si>
  <si>
    <r>
      <rPr>
        <sz val="10"/>
        <color theme="1"/>
        <rFont val="맑은 고딕"/>
        <family val="3"/>
        <charset val="129"/>
      </rPr>
      <t>정량지표</t>
    </r>
    <r>
      <rPr>
        <sz val="10"/>
        <color theme="1"/>
        <rFont val="Arial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명</t>
    </r>
    <phoneticPr fontId="11" type="noConversion"/>
  </si>
  <si>
    <t>단계-연차</t>
    <phoneticPr fontId="11" type="noConversion"/>
  </si>
  <si>
    <t>달성</t>
    <phoneticPr fontId="11" type="noConversion"/>
  </si>
  <si>
    <t>뉴로핏 주식회사</t>
    <phoneticPr fontId="3" type="noConversion"/>
  </si>
  <si>
    <t>목표</t>
    <phoneticPr fontId="3" type="noConversion"/>
  </si>
  <si>
    <t>R&amp;D</t>
  </si>
  <si>
    <t>중소벤처기업부</t>
  </si>
  <si>
    <t>한국산업기술진흥원</t>
  </si>
  <si>
    <t>(강원)글로벌혁신특구혁신사업육성(R&amp;D)</t>
  </si>
  <si>
    <t>해외 진출을 위한 ARIA 분석 기술의 개발 및 실증</t>
  </si>
  <si>
    <t>RS-2024-00507182</t>
  </si>
  <si>
    <t>2024-07-01 - 2026-06-30</t>
  </si>
  <si>
    <t>2026-01-01 - 2026-06-30 (0단계 3연차)</t>
  </si>
  <si>
    <t>IRIS, RCMS</t>
  </si>
  <si>
    <t>정부지원금(국비+지방비)</t>
  </si>
  <si>
    <t>국문 - 본 연구는 중소벤처기업부와 한국산업기술진흥원이 지원하는 글로벌혁신특구혁신사업육성(R&amp;D)(RS-2024-00507182)으로 수행된 연구결과입니다.
영문 - This research was supported by the Ministry of SMEs and Startups(MSS), Korea Institute for Advancement of Technology(KIAT) through the Innovation Development(R&amp;D)(RS-2024-00507182) for Global Regulation-Free Special Zone</t>
    <phoneticPr fontId="3" type="noConversion"/>
  </si>
  <si>
    <t>0단계 1연차</t>
  </si>
  <si>
    <t>0단계 2연차</t>
  </si>
  <si>
    <t>0단계 3연차</t>
  </si>
  <si>
    <t>총합</t>
  </si>
  <si>
    <t>뇌부종 영역 분할 기술 고도화</t>
    <phoneticPr fontId="3" type="noConversion"/>
  </si>
  <si>
    <t>표재철 침착증 영역 분할 기술 고도화</t>
    <phoneticPr fontId="3" type="noConversion"/>
  </si>
  <si>
    <t>해외 협력 기관 섭외 및 계약서 작성</t>
    <phoneticPr fontId="3" type="noConversion"/>
  </si>
  <si>
    <t>검증 연구를 진행하기 위한 IRB 작성</t>
    <phoneticPr fontId="3" type="noConversion"/>
  </si>
  <si>
    <t>AI 모델 학습을 위한 국내외 개발 자료 수집 및 정제</t>
    <phoneticPr fontId="3" type="noConversion"/>
  </si>
  <si>
    <t>정확한 Ground truth 설정</t>
    <phoneticPr fontId="3" type="noConversion"/>
  </si>
  <si>
    <t>국내인증 신청</t>
    <phoneticPr fontId="3" type="noConversion"/>
  </si>
  <si>
    <t>해외인증 (일본) 신청</t>
    <phoneticPr fontId="3" type="noConversion"/>
  </si>
  <si>
    <t>국내 인증 완료</t>
    <phoneticPr fontId="3" type="noConversion"/>
  </si>
  <si>
    <t>일본 인증 완료</t>
    <phoneticPr fontId="3" type="noConversion"/>
  </si>
  <si>
    <t>FDA 인증 절차 개시</t>
    <phoneticPr fontId="3" type="noConversion"/>
  </si>
  <si>
    <t>소프트웨어 최적화 및 상용화</t>
    <phoneticPr fontId="3" type="noConversion"/>
  </si>
  <si>
    <t>임상 환경에 적용 시 활용성 검증</t>
    <phoneticPr fontId="3" type="noConversion"/>
  </si>
  <si>
    <t>FDA 인증 절차 완료</t>
    <phoneticPr fontId="3" type="noConversion"/>
  </si>
  <si>
    <t xml:space="preserve">유럽 인증 절차 개시 </t>
    <phoneticPr fontId="3" type="noConversion"/>
  </si>
  <si>
    <t>0단계 1연차</t>
    <phoneticPr fontId="3" type="noConversion"/>
  </si>
  <si>
    <t>0단계 2연차</t>
    <phoneticPr fontId="3" type="noConversion"/>
  </si>
  <si>
    <t>0단계 3연차</t>
    <phoneticPr fontId="3" type="noConversion"/>
  </si>
  <si>
    <t>ARIA-E 뇌부종 영역 분할 정확도 (DSC)</t>
    <phoneticPr fontId="11" type="noConversion"/>
  </si>
  <si>
    <t>ARIA-H 표재철 침착증 검출 기술 특이도 (Specificity)</t>
    <phoneticPr fontId="3" type="noConversion"/>
  </si>
  <si>
    <t>ARIA-H 표재철 침착증 검출 기술 민감도 (Sensitivity)</t>
    <phoneticPr fontId="3" type="noConversion"/>
  </si>
  <si>
    <t>실증 자료 활용 국내 인증 신청/인증</t>
  </si>
  <si>
    <t>실증 자료 활용 국내 인증 신청/인증</t>
    <phoneticPr fontId="3" type="noConversion"/>
  </si>
  <si>
    <t>실증 자료 활용 일본 인증 신청/인증</t>
  </si>
  <si>
    <t>실증 자료 활용 일본 인증 신청/인증</t>
    <phoneticPr fontId="3" type="noConversion"/>
  </si>
  <si>
    <t>실증 자료 활용 미국 인증 신청/인증</t>
  </si>
  <si>
    <t>실증 자료 활용 미국 인증 신청/인증</t>
    <phoneticPr fontId="3" type="noConversion"/>
  </si>
  <si>
    <t>실증 자료 활용 유럽 인증 신청</t>
    <phoneticPr fontId="3" type="noConversion"/>
  </si>
  <si>
    <t>신규고용</t>
    <phoneticPr fontId="3" type="noConversion"/>
  </si>
  <si>
    <t>국내매출</t>
    <phoneticPr fontId="3" type="noConversion"/>
  </si>
  <si>
    <t>수출</t>
    <phoneticPr fontId="3" type="noConversion"/>
  </si>
  <si>
    <t>특허</t>
    <phoneticPr fontId="3" type="noConversion"/>
  </si>
  <si>
    <t>명</t>
    <phoneticPr fontId="3" type="noConversion"/>
  </si>
  <si>
    <t>백만원</t>
    <phoneticPr fontId="3" type="noConversion"/>
  </si>
  <si>
    <t>건</t>
    <phoneticPr fontId="3" type="noConversion"/>
  </si>
  <si>
    <t>%</t>
    <phoneticPr fontId="3" type="noConversion"/>
  </si>
  <si>
    <t>공인시험성적서</t>
    <phoneticPr fontId="3" type="noConversion"/>
  </si>
  <si>
    <t>인증서</t>
    <phoneticPr fontId="3" type="noConversion"/>
  </si>
  <si>
    <t>신청서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</si>
</sst>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돋움"/>
      <family val="3"/>
      <charset val="129"/>
    </font>
    <font>
      <sz val="8"/>
      <name val="Arial"/>
      <family val="2"/>
      <charset val="129"/>
    </font>
    <font>
      <sz val="8"/>
      <color rgb="FF000000"/>
      <name val="Arial"/>
      <family val="2"/>
    </font>
    <font>
      <sz val="10"/>
      <color theme="1"/>
      <name val="Arial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5" borderId="7" xfId="0" applyNumberFormat="1" applyFont="1" applyFill="1" applyBorder="1" applyProtection="1">
      <alignment vertical="center"/>
      <protection locked="0"/>
    </xf>
    <xf numFmtId="176" fontId="4" fillId="5" borderId="5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 applyProtection="1">
      <alignment vertical="center"/>
      <protection locked="0"/>
    </xf>
    <xf numFmtId="176" fontId="4" fillId="5" borderId="8" xfId="0" applyNumberFormat="1" applyFont="1" applyFill="1" applyBorder="1">
      <alignment vertical="center"/>
    </xf>
    <xf numFmtId="176" fontId="7" fillId="5" borderId="7" xfId="0" applyNumberFormat="1" applyFont="1" applyFill="1" applyBorder="1">
      <alignment vertical="center"/>
    </xf>
    <xf numFmtId="176" fontId="6" fillId="0" borderId="5" xfId="0" applyNumberFormat="1" applyFont="1" applyBorder="1" applyAlignment="1">
      <alignment horizontal="center" vertical="center"/>
    </xf>
    <xf numFmtId="14" fontId="4" fillId="3" borderId="9" xfId="0" applyNumberFormat="1" applyFont="1" applyFill="1" applyBorder="1" applyProtection="1">
      <alignment vertical="center"/>
      <protection locked="0"/>
    </xf>
    <xf numFmtId="176" fontId="4" fillId="3" borderId="10" xfId="0" applyNumberFormat="1" applyFont="1" applyFill="1" applyBorder="1" applyProtection="1">
      <alignment vertical="center"/>
      <protection locked="0"/>
    </xf>
    <xf numFmtId="176" fontId="4" fillId="0" borderId="5" xfId="0" applyNumberFormat="1" applyFont="1" applyBorder="1">
      <alignment vertical="center"/>
    </xf>
    <xf numFmtId="176" fontId="4" fillId="3" borderId="9" xfId="0" applyNumberFormat="1" applyFont="1" applyFill="1" applyBorder="1" applyProtection="1">
      <alignment vertical="center"/>
      <protection locked="0"/>
    </xf>
    <xf numFmtId="176" fontId="4" fillId="0" borderId="6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7" fillId="0" borderId="7" xfId="0" applyNumberFormat="1" applyFont="1" applyBorder="1">
      <alignment vertical="center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12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center" vertical="center" wrapText="1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7" fontId="4" fillId="3" borderId="0" xfId="0" applyNumberFormat="1" applyFont="1" applyFill="1" applyAlignment="1" applyProtection="1">
      <alignment horizontal="center" vertical="center"/>
      <protection locked="0"/>
    </xf>
    <xf numFmtId="0" fontId="10" fillId="6" borderId="15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9" fontId="10" fillId="0" borderId="15" xfId="2" applyFont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center" vertical="center" wrapText="1"/>
    </xf>
    <xf numFmtId="0" fontId="13" fillId="0" borderId="0" xfId="0" applyFont="1">
      <alignment vertical="center"/>
    </xf>
    <xf numFmtId="0" fontId="15" fillId="0" borderId="0" xfId="0" applyFont="1">
      <alignment vertical="center"/>
    </xf>
    <xf numFmtId="0" fontId="10" fillId="0" borderId="15" xfId="0" applyFont="1" applyBorder="1" applyAlignment="1">
      <alignment horizontal="center" vertical="center"/>
    </xf>
    <xf numFmtId="41" fontId="4" fillId="3" borderId="0" xfId="1" applyFont="1" applyFill="1" applyBorder="1" applyAlignment="1" applyProtection="1">
      <alignment vertical="center"/>
      <protection locked="0"/>
    </xf>
    <xf numFmtId="0" fontId="10" fillId="6" borderId="15" xfId="0" applyFont="1" applyFill="1" applyBorder="1" applyAlignment="1">
      <alignment vertical="center" wrapText="1"/>
    </xf>
    <xf numFmtId="0" fontId="10" fillId="6" borderId="15" xfId="0" applyFont="1" applyFill="1" applyBorder="1" applyAlignment="1">
      <alignment horizontal="center" vertical="center" wrapText="1"/>
    </xf>
    <xf numFmtId="0" fontId="10" fillId="6" borderId="16" xfId="0" applyFont="1" applyFill="1" applyBorder="1" applyAlignment="1">
      <alignment horizontal="center" vertical="center" wrapText="1"/>
    </xf>
    <xf numFmtId="0" fontId="10" fillId="6" borderId="17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2">
    <dxf>
      <font>
        <b/>
        <i val="0"/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돋움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52509;&#44292;&#54364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7</xdr:col>
      <xdr:colOff>22411</xdr:colOff>
      <xdr:row>3</xdr:row>
      <xdr:rowOff>131333</xdr:rowOff>
    </xdr:to>
    <xdr:sp macro="" textlink="">
      <xdr:nvSpPr>
        <xdr:cNvPr id="2" name="사각형: 빗면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A2CE84-0746-4F9E-BA58-0193761F560E}"/>
            </a:ext>
          </a:extLst>
        </xdr:cNvPr>
        <xdr:cNvSpPr/>
      </xdr:nvSpPr>
      <xdr:spPr>
        <a:xfrm>
          <a:off x="5829300" y="0"/>
          <a:ext cx="990151" cy="706643"/>
        </a:xfrm>
        <a:prstGeom prst="bevel">
          <a:avLst/>
        </a:prstGeom>
        <a:solidFill>
          <a:schemeClr val="accent5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 b="1"/>
            <a:t>총괄표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0FCC0E9-45A1-4B0D-8463-6F79DE666593}" name="표1" displayName="표1" ref="A1:D24" totalsRowShown="0">
  <autoFilter ref="A1:D24" xr:uid="{60FCC0E9-45A1-4B0D-8463-6F79DE666593}"/>
  <tableColumns count="4">
    <tableColumn id="1" xr3:uid="{A740F9C7-C646-4FF1-BB8B-819602FF7862}" name="정량지표 명"/>
    <tableColumn id="2" xr3:uid="{161A21B9-6D49-4445-B490-BB8F432233AF}" name="단계-연차"/>
    <tableColumn id="3" xr3:uid="{67A027E6-2A25-48D7-A3EF-A441ACFF1293}" name="달성"/>
    <tableColumn id="4" xr3:uid="{335A5616-A2CF-49B8-9ACD-839AE341020E}" name="기관명" dataDxfId="1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workbookViewId="0">
      <selection activeCell="C17" sqref="C17"/>
    </sheetView>
  </sheetViews>
  <sheetFormatPr defaultColWidth="17.59765625" defaultRowHeight="15" customHeight="1" x14ac:dyDescent="0.4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 x14ac:dyDescent="0.4">
      <c r="A1" s="1" t="s">
        <v>0</v>
      </c>
      <c r="B1" s="2" t="s">
        <v>47</v>
      </c>
    </row>
    <row r="2" spans="1:27" ht="15" customHeight="1" x14ac:dyDescent="0.4">
      <c r="A2" s="1" t="s">
        <v>16</v>
      </c>
      <c r="B2" s="2" t="s">
        <v>48</v>
      </c>
    </row>
    <row r="3" spans="1:27" ht="15" customHeight="1" x14ac:dyDescent="0.4">
      <c r="A3" s="1" t="s">
        <v>17</v>
      </c>
      <c r="B3" s="2" t="s">
        <v>49</v>
      </c>
    </row>
    <row r="4" spans="1:27" ht="15" customHeight="1" x14ac:dyDescent="0.4">
      <c r="A4" s="1" t="s">
        <v>18</v>
      </c>
      <c r="B4" s="2" t="s">
        <v>50</v>
      </c>
      <c r="E4" s="2"/>
      <c r="F4" s="2"/>
      <c r="G4" s="2"/>
      <c r="Z4" s="2">
        <f>사업비!M4*0.4</f>
        <v>38933200</v>
      </c>
    </row>
    <row r="5" spans="1:27" ht="15" customHeight="1" x14ac:dyDescent="0.4">
      <c r="A5" s="1" t="s">
        <v>19</v>
      </c>
      <c r="B5" s="2" t="s">
        <v>51</v>
      </c>
      <c r="E5" s="2"/>
      <c r="F5" s="2"/>
      <c r="G5" s="2"/>
    </row>
    <row r="6" spans="1:27" ht="15" customHeight="1" x14ac:dyDescent="0.4">
      <c r="A6" s="1" t="s">
        <v>20</v>
      </c>
      <c r="B6" s="2" t="s">
        <v>52</v>
      </c>
      <c r="E6" s="2"/>
      <c r="F6" s="2"/>
      <c r="G6" s="2"/>
    </row>
    <row r="7" spans="1:27" ht="15" customHeight="1" x14ac:dyDescent="0.4">
      <c r="A7" s="1" t="s">
        <v>21</v>
      </c>
      <c r="B7" s="2" t="s">
        <v>22</v>
      </c>
      <c r="E7" s="2"/>
      <c r="F7" s="2"/>
      <c r="G7" s="2"/>
    </row>
    <row r="8" spans="1:27" ht="15" customHeight="1" x14ac:dyDescent="0.4">
      <c r="A8" s="1" t="s">
        <v>23</v>
      </c>
      <c r="B8" s="40" t="s">
        <v>53</v>
      </c>
      <c r="C8" s="41"/>
      <c r="D8" s="42"/>
      <c r="E8" s="2"/>
      <c r="F8" s="2"/>
      <c r="G8" s="2"/>
    </row>
    <row r="9" spans="1:27" ht="15" customHeight="1" x14ac:dyDescent="0.4">
      <c r="A9" s="1" t="s">
        <v>24</v>
      </c>
      <c r="B9" s="40" t="s">
        <v>54</v>
      </c>
      <c r="C9" s="41"/>
      <c r="D9" s="42"/>
      <c r="E9" s="2"/>
      <c r="F9" s="2"/>
      <c r="G9" s="2"/>
      <c r="H9" s="41"/>
      <c r="I9" s="41"/>
      <c r="J9" s="41"/>
    </row>
    <row r="10" spans="1:27" ht="15" customHeight="1" x14ac:dyDescent="0.4">
      <c r="A10" s="1" t="s">
        <v>25</v>
      </c>
      <c r="B10" s="40">
        <v>6</v>
      </c>
      <c r="E10" s="2"/>
      <c r="F10" s="2"/>
      <c r="G10" s="43"/>
      <c r="H10" s="44"/>
      <c r="I10" s="41"/>
      <c r="J10" s="41"/>
    </row>
    <row r="11" spans="1:27" ht="15" customHeight="1" x14ac:dyDescent="0.4">
      <c r="A11" s="1" t="s">
        <v>26</v>
      </c>
      <c r="B11" s="42" t="s">
        <v>55</v>
      </c>
      <c r="E11" s="2"/>
      <c r="F11" s="2"/>
      <c r="G11" s="2"/>
      <c r="H11" s="41"/>
      <c r="I11" s="41"/>
      <c r="J11" s="41"/>
    </row>
    <row r="12" spans="1:27" ht="15" customHeight="1" x14ac:dyDescent="0.4">
      <c r="A12" s="1" t="s">
        <v>27</v>
      </c>
      <c r="B12" s="45" t="s">
        <v>57</v>
      </c>
      <c r="E12" s="2"/>
      <c r="F12" s="2"/>
      <c r="G12" s="2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6"/>
      <c r="Y12" s="47"/>
      <c r="Z12" s="46"/>
      <c r="AA12" s="46"/>
    </row>
    <row r="13" spans="1:27" ht="15" customHeight="1" x14ac:dyDescent="0.4">
      <c r="A13" s="1" t="s">
        <v>28</v>
      </c>
      <c r="B13" s="4">
        <v>45511</v>
      </c>
      <c r="E13" s="2"/>
      <c r="F13" s="2"/>
      <c r="G13" s="2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6"/>
      <c r="Y13" s="46"/>
      <c r="Z13" s="46"/>
      <c r="AA13" s="46"/>
    </row>
    <row r="14" spans="1:27" ht="15" customHeight="1" x14ac:dyDescent="0.4">
      <c r="A14" s="1" t="s">
        <v>29</v>
      </c>
      <c r="B14" s="41" t="s">
        <v>56</v>
      </c>
      <c r="E14" s="2"/>
      <c r="F14" s="2"/>
      <c r="G14" s="2"/>
      <c r="K14" s="41"/>
      <c r="X14" s="46"/>
      <c r="Y14" s="46"/>
      <c r="Z14" s="46"/>
      <c r="AA14" s="46"/>
    </row>
    <row r="15" spans="1:27" ht="15" customHeight="1" x14ac:dyDescent="0.4">
      <c r="C15" s="41"/>
      <c r="D15" s="41"/>
      <c r="E15" s="48"/>
      <c r="H15" s="41"/>
    </row>
    <row r="16" spans="1:27" ht="15" customHeight="1" x14ac:dyDescent="0.4">
      <c r="C16" s="41"/>
      <c r="D16" s="41"/>
      <c r="E16" s="48"/>
      <c r="H16" s="41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2:23" ht="15" customHeight="1" x14ac:dyDescent="0.4">
      <c r="B17" s="41"/>
      <c r="C17" s="41"/>
      <c r="D17" s="41"/>
      <c r="E17" s="48"/>
      <c r="H17" s="41"/>
    </row>
    <row r="20" spans="2:23" s="4" customFormat="1" ht="15" customHeight="1" x14ac:dyDescent="0.4"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7" spans="2:23" ht="15" customHeight="1" x14ac:dyDescent="0.4">
      <c r="C27" s="50"/>
    </row>
    <row r="28" spans="2:23" ht="15" customHeight="1" x14ac:dyDescent="0.4">
      <c r="B28" s="42"/>
      <c r="C28" s="50"/>
      <c r="D28" s="50"/>
      <c r="E28" s="51"/>
    </row>
    <row r="75" spans="1:14" ht="15" customHeight="1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BFE0-1680-4D6E-87BD-0997B5AC0514}">
  <dimension ref="A1:O7"/>
  <sheetViews>
    <sheetView workbookViewId="0">
      <selection activeCell="K12" sqref="K12"/>
    </sheetView>
  </sheetViews>
  <sheetFormatPr defaultRowHeight="17.399999999999999" x14ac:dyDescent="0.4"/>
  <cols>
    <col min="5" max="5" width="7.3984375" bestFit="1" customWidth="1"/>
  </cols>
  <sheetData>
    <row r="1" spans="1:15" ht="21.6" x14ac:dyDescent="0.4">
      <c r="A1" s="6" t="s">
        <v>1</v>
      </c>
      <c r="B1" s="7" t="s">
        <v>2</v>
      </c>
      <c r="C1" s="7" t="s">
        <v>3</v>
      </c>
      <c r="D1" s="7" t="s">
        <v>4</v>
      </c>
      <c r="E1" s="8" t="s">
        <v>5</v>
      </c>
      <c r="F1" s="8" t="s">
        <v>6</v>
      </c>
      <c r="G1" s="8" t="s">
        <v>7</v>
      </c>
      <c r="H1" s="9" t="s">
        <v>8</v>
      </c>
      <c r="I1" s="10" t="s">
        <v>9</v>
      </c>
      <c r="J1" s="11" t="s">
        <v>10</v>
      </c>
      <c r="K1" s="11" t="s">
        <v>11</v>
      </c>
      <c r="L1" s="11" t="s">
        <v>12</v>
      </c>
      <c r="M1" s="12" t="s">
        <v>13</v>
      </c>
      <c r="N1" s="12" t="s">
        <v>14</v>
      </c>
      <c r="O1" s="13" t="s">
        <v>15</v>
      </c>
    </row>
    <row r="2" spans="1:15" x14ac:dyDescent="0.4">
      <c r="A2" s="14" t="s">
        <v>58</v>
      </c>
      <c r="B2" s="15">
        <v>45474</v>
      </c>
      <c r="C2" s="15">
        <v>45657</v>
      </c>
      <c r="D2" s="16">
        <f>IF(B2="","",DATEDIF(B2,C2,"m")+1)</f>
        <v>6</v>
      </c>
      <c r="E2" s="17" cm="1">
        <f t="array" ref="E2">SUMPRODUCT(
  ($A$17:$A$51 = $K2) *
  ISNUMBER(MATCH($B$17:$B$51, {"인건비","연구활동비","연구재료비","연구시설장비비","연구수당"}, 0)) *
  $C$17:$C$51
)</f>
        <v>0</v>
      </c>
      <c r="F2" s="18">
        <v>50000000</v>
      </c>
      <c r="G2" s="18">
        <v>23000000</v>
      </c>
      <c r="H2" s="19">
        <v>9734000</v>
      </c>
      <c r="I2" s="20">
        <v>14599000</v>
      </c>
      <c r="J2" s="21">
        <f>H2+I2</f>
        <v>24333000</v>
      </c>
      <c r="K2" s="21">
        <f>SUM(F2,G2,H2)</f>
        <v>82734000</v>
      </c>
      <c r="L2" s="21">
        <f>I2</f>
        <v>14599000</v>
      </c>
      <c r="M2" s="17">
        <f>K2+L2</f>
        <v>97333000</v>
      </c>
      <c r="N2" s="17"/>
      <c r="O2" s="22"/>
    </row>
    <row r="3" spans="1:15" x14ac:dyDescent="0.4">
      <c r="A3" s="23" t="s">
        <v>59</v>
      </c>
      <c r="B3" s="24">
        <v>45658</v>
      </c>
      <c r="C3" s="24">
        <v>46022</v>
      </c>
      <c r="D3" s="25">
        <f t="shared" ref="D3:D6" si="0">IF(B3="","",DATEDIF(B3,C3,"m")+1)</f>
        <v>12</v>
      </c>
      <c r="E3" s="26" cm="1">
        <f t="array" ref="E3">SUMPRODUCT(
  ($A$17:$A$51 = $K3) *
  ISNUMBER(MATCH($B$17:$B$51, {"인건비","연구활동비","연구재료비","연구시설장비비","연구수당"}, 0)) *
  $C$17:$C$51
)</f>
        <v>0</v>
      </c>
      <c r="F3" s="26">
        <v>100000000</v>
      </c>
      <c r="G3" s="26">
        <v>54000000</v>
      </c>
      <c r="H3" s="26">
        <v>20534000</v>
      </c>
      <c r="I3" s="27">
        <v>30800000</v>
      </c>
      <c r="J3" s="28">
        <f t="shared" ref="J3:J6" si="1">H3+I3</f>
        <v>51334000</v>
      </c>
      <c r="K3" s="26">
        <f t="shared" ref="K3:K6" si="2">SUM(F3,G3,H3)</f>
        <v>174534000</v>
      </c>
      <c r="L3" s="26">
        <f t="shared" ref="L3:L6" si="3">I3</f>
        <v>30800000</v>
      </c>
      <c r="M3" s="29">
        <f>K3+L3</f>
        <v>205334000</v>
      </c>
      <c r="N3" s="29"/>
      <c r="O3" s="30"/>
    </row>
    <row r="4" spans="1:15" x14ac:dyDescent="0.4">
      <c r="A4" s="14" t="s">
        <v>60</v>
      </c>
      <c r="B4" s="15">
        <v>46023</v>
      </c>
      <c r="C4" s="15">
        <v>46203</v>
      </c>
      <c r="D4" s="16">
        <f t="shared" si="0"/>
        <v>6</v>
      </c>
      <c r="E4" s="17" cm="1">
        <f t="array" ref="E4">SUMPRODUCT(
  ($A$17:$A$51 = $K4) *
  ISNUMBER(MATCH($B$17:$B$51, {"인건비","연구활동비","연구재료비","연구시설장비비","연구수당"}, 0)) *
  $C$17:$C$51
)</f>
        <v>0</v>
      </c>
      <c r="F4" s="18">
        <v>50000000</v>
      </c>
      <c r="G4" s="18">
        <v>23000000</v>
      </c>
      <c r="H4" s="19">
        <v>9734000</v>
      </c>
      <c r="I4" s="20">
        <v>14599000</v>
      </c>
      <c r="J4" s="21">
        <f t="shared" si="1"/>
        <v>24333000</v>
      </c>
      <c r="K4" s="21">
        <f t="shared" si="2"/>
        <v>82734000</v>
      </c>
      <c r="L4" s="21">
        <f t="shared" si="3"/>
        <v>14599000</v>
      </c>
      <c r="M4" s="17">
        <f t="shared" ref="M4:M6" si="4">K4+L4</f>
        <v>97333000</v>
      </c>
      <c r="N4" s="17"/>
      <c r="O4" s="22"/>
    </row>
    <row r="5" spans="1:15" x14ac:dyDescent="0.4">
      <c r="A5" s="23"/>
      <c r="B5" s="24"/>
      <c r="C5" s="24"/>
      <c r="D5" s="25" t="str">
        <f t="shared" si="0"/>
        <v/>
      </c>
      <c r="E5" s="26" cm="1">
        <f t="array" ref="E5">SUMPRODUCT(
  ($A$17:$A$51 = $K5) *
  ISNUMBER(MATCH($B$17:$B$51, {"인건비","연구활동비","연구재료비","연구시설장비비","연구수당"}, 0)) *
  $C$17:$C$51
)</f>
        <v>0</v>
      </c>
      <c r="F5" s="26"/>
      <c r="G5" s="26"/>
      <c r="H5" s="26"/>
      <c r="I5" s="27"/>
      <c r="J5" s="28">
        <f t="shared" si="1"/>
        <v>0</v>
      </c>
      <c r="K5" s="26">
        <f t="shared" si="2"/>
        <v>0</v>
      </c>
      <c r="L5" s="26">
        <f t="shared" si="3"/>
        <v>0</v>
      </c>
      <c r="M5" s="29">
        <f t="shared" si="4"/>
        <v>0</v>
      </c>
      <c r="N5" s="29"/>
      <c r="O5" s="30"/>
    </row>
    <row r="6" spans="1:15" x14ac:dyDescent="0.4">
      <c r="A6" s="14"/>
      <c r="B6" s="31"/>
      <c r="C6" s="31"/>
      <c r="D6" s="16" t="str">
        <f t="shared" si="0"/>
        <v/>
      </c>
      <c r="E6" s="17" cm="1">
        <f t="array" ref="E6">SUMPRODUCT(
  ($A$17:$A$51 = $K6) *
  ISNUMBER(MATCH($B$17:$B$51, {"인건비","연구활동비","연구재료비","연구시설장비비","연구수당"}, 0)) *
  $C$17:$C$51
)</f>
        <v>0</v>
      </c>
      <c r="F6" s="18"/>
      <c r="G6" s="18"/>
      <c r="H6" s="19"/>
      <c r="I6" s="20"/>
      <c r="J6" s="21">
        <f t="shared" si="1"/>
        <v>0</v>
      </c>
      <c r="K6" s="21">
        <f t="shared" si="2"/>
        <v>0</v>
      </c>
      <c r="L6" s="21">
        <f t="shared" si="3"/>
        <v>0</v>
      </c>
      <c r="M6" s="17">
        <f t="shared" si="4"/>
        <v>0</v>
      </c>
      <c r="N6" s="17"/>
      <c r="O6" s="22"/>
    </row>
    <row r="7" spans="1:15" x14ac:dyDescent="0.4">
      <c r="A7" s="32" t="s">
        <v>61</v>
      </c>
      <c r="B7" s="33"/>
      <c r="C7" s="34"/>
      <c r="D7" s="35">
        <f t="shared" ref="D7" si="5">SUM(D2:D6)</f>
        <v>24</v>
      </c>
      <c r="E7" s="36" cm="1">
        <f t="array" ref="E7">SUMPRODUCT(
  ($A$17:$A$51 = $K7) *
  ISNUMBER(MATCH($B$17:$B$51, {"인건비","연구활동비","연구재료비","연구시설장비비","연구수당"}, 0)) *
  $C$17:$C$51
)</f>
        <v>0</v>
      </c>
      <c r="F7" s="36">
        <f>SUM(F2:F6)</f>
        <v>200000000</v>
      </c>
      <c r="G7" s="37">
        <f>SUM(G2:G6)</f>
        <v>100000000</v>
      </c>
      <c r="H7" s="37">
        <f>SUM(H2:H6)</f>
        <v>40002000</v>
      </c>
      <c r="I7" s="35">
        <f t="shared" ref="I7:K7" si="6">SUM(I2:I6)</f>
        <v>59998000</v>
      </c>
      <c r="J7" s="38">
        <f t="shared" si="6"/>
        <v>100000000</v>
      </c>
      <c r="K7" s="38">
        <f t="shared" si="6"/>
        <v>340002000</v>
      </c>
      <c r="L7" s="38">
        <f>SUM(L2:L6)</f>
        <v>59998000</v>
      </c>
      <c r="M7" s="36">
        <f t="shared" ref="M7:N7" si="7">SUM(M2:M6)</f>
        <v>400000000</v>
      </c>
      <c r="N7" s="36">
        <f t="shared" si="7"/>
        <v>0</v>
      </c>
      <c r="O7" s="39">
        <f>SUM(O2:O6)</f>
        <v>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18"/>
  <sheetViews>
    <sheetView workbookViewId="0">
      <selection activeCell="B11" sqref="B11:G11"/>
    </sheetView>
  </sheetViews>
  <sheetFormatPr defaultRowHeight="17.399999999999999" x14ac:dyDescent="0.4"/>
  <cols>
    <col min="2" max="2" width="35.8984375" bestFit="1" customWidth="1"/>
    <col min="4" max="5" width="11.09765625" bestFit="1" customWidth="1"/>
  </cols>
  <sheetData>
    <row r="1" spans="1:7" x14ac:dyDescent="0.4">
      <c r="A1" s="2"/>
      <c r="B1" s="41"/>
      <c r="C1" s="2"/>
      <c r="D1" s="2" t="s">
        <v>30</v>
      </c>
      <c r="E1" s="2" t="s">
        <v>30</v>
      </c>
      <c r="F1" s="60" t="s">
        <v>31</v>
      </c>
      <c r="G1" s="60" t="s">
        <v>31</v>
      </c>
    </row>
    <row r="2" spans="1:7" x14ac:dyDescent="0.4">
      <c r="A2" s="41" t="s">
        <v>32</v>
      </c>
      <c r="B2" s="41" t="s">
        <v>33</v>
      </c>
      <c r="C2" s="2" t="s">
        <v>34</v>
      </c>
      <c r="D2" s="41" t="s">
        <v>2</v>
      </c>
      <c r="E2" s="41" t="s">
        <v>3</v>
      </c>
      <c r="F2" s="41" t="s">
        <v>2</v>
      </c>
      <c r="G2" s="41" t="s">
        <v>3</v>
      </c>
    </row>
    <row r="3" spans="1:7" x14ac:dyDescent="0.4">
      <c r="A3" s="52">
        <v>1</v>
      </c>
      <c r="B3" s="41" t="s">
        <v>64</v>
      </c>
      <c r="C3" s="4" t="s">
        <v>77</v>
      </c>
      <c r="D3" s="4">
        <v>45474</v>
      </c>
      <c r="E3" s="4">
        <v>45596</v>
      </c>
      <c r="F3" s="4">
        <v>45474</v>
      </c>
      <c r="G3" s="4">
        <v>45596</v>
      </c>
    </row>
    <row r="4" spans="1:7" x14ac:dyDescent="0.4">
      <c r="A4" s="41">
        <v>2</v>
      </c>
      <c r="B4" s="41" t="s">
        <v>65</v>
      </c>
      <c r="C4" s="4" t="s">
        <v>77</v>
      </c>
      <c r="D4" s="4">
        <v>45505</v>
      </c>
      <c r="E4" s="4">
        <v>45626</v>
      </c>
      <c r="F4" s="4">
        <v>45505</v>
      </c>
      <c r="G4" s="4">
        <v>45626</v>
      </c>
    </row>
    <row r="5" spans="1:7" x14ac:dyDescent="0.4">
      <c r="A5" s="41">
        <v>3</v>
      </c>
      <c r="B5" s="41" t="s">
        <v>66</v>
      </c>
      <c r="C5" s="4" t="s">
        <v>77</v>
      </c>
      <c r="D5" s="4">
        <v>45505</v>
      </c>
      <c r="E5" s="4">
        <v>45657</v>
      </c>
      <c r="F5" s="4">
        <v>45505</v>
      </c>
      <c r="G5" s="4">
        <v>45657</v>
      </c>
    </row>
    <row r="6" spans="1:7" x14ac:dyDescent="0.4">
      <c r="A6" s="41">
        <v>4</v>
      </c>
      <c r="B6" s="41" t="s">
        <v>67</v>
      </c>
      <c r="C6" s="4" t="s">
        <v>77</v>
      </c>
      <c r="D6" s="4">
        <v>45505</v>
      </c>
      <c r="E6" s="4">
        <v>45657</v>
      </c>
      <c r="F6" s="4">
        <v>45505</v>
      </c>
      <c r="G6" s="4">
        <v>45657</v>
      </c>
    </row>
    <row r="7" spans="1:7" x14ac:dyDescent="0.4">
      <c r="A7" s="41">
        <v>5</v>
      </c>
      <c r="B7" s="41" t="s">
        <v>68</v>
      </c>
      <c r="C7" s="4" t="s">
        <v>77</v>
      </c>
      <c r="D7" s="4">
        <v>45597</v>
      </c>
      <c r="E7" s="4">
        <v>45657</v>
      </c>
      <c r="F7" s="4">
        <v>45597</v>
      </c>
      <c r="G7" s="4">
        <v>45657</v>
      </c>
    </row>
    <row r="8" spans="1:7" ht="21.6" x14ac:dyDescent="0.4">
      <c r="A8" s="41">
        <v>6</v>
      </c>
      <c r="B8" s="49" t="s">
        <v>69</v>
      </c>
      <c r="C8" s="4" t="s">
        <v>77</v>
      </c>
      <c r="D8" s="4">
        <v>45627</v>
      </c>
      <c r="E8" s="4">
        <v>45657</v>
      </c>
      <c r="F8" s="4">
        <v>45627</v>
      </c>
      <c r="G8" s="4">
        <v>45657</v>
      </c>
    </row>
    <row r="9" spans="1:7" x14ac:dyDescent="0.4">
      <c r="A9" s="41">
        <v>7</v>
      </c>
      <c r="B9" s="49" t="s">
        <v>62</v>
      </c>
      <c r="C9" s="4" t="s">
        <v>78</v>
      </c>
      <c r="D9" s="4">
        <v>45658</v>
      </c>
      <c r="E9" s="4">
        <v>46022</v>
      </c>
      <c r="F9" s="4">
        <v>45658</v>
      </c>
      <c r="G9" s="4">
        <v>46022</v>
      </c>
    </row>
    <row r="10" spans="1:7" x14ac:dyDescent="0.4">
      <c r="A10" s="41">
        <v>8</v>
      </c>
      <c r="B10" s="41" t="s">
        <v>63</v>
      </c>
      <c r="C10" s="4" t="s">
        <v>78</v>
      </c>
      <c r="D10" s="4">
        <v>45658</v>
      </c>
      <c r="E10" s="4">
        <v>46022</v>
      </c>
      <c r="F10" s="4">
        <v>45658</v>
      </c>
      <c r="G10" s="4">
        <v>46022</v>
      </c>
    </row>
    <row r="11" spans="1:7" x14ac:dyDescent="0.4">
      <c r="A11" s="41">
        <v>9</v>
      </c>
      <c r="B11" s="41" t="s">
        <v>70</v>
      </c>
      <c r="C11" s="4" t="s">
        <v>78</v>
      </c>
      <c r="D11" s="4">
        <v>45658</v>
      </c>
      <c r="E11" s="4">
        <v>45747</v>
      </c>
      <c r="F11" s="4">
        <v>45658</v>
      </c>
      <c r="G11" s="4">
        <v>45747</v>
      </c>
    </row>
    <row r="12" spans="1:7" x14ac:dyDescent="0.4">
      <c r="A12" s="41">
        <v>10</v>
      </c>
      <c r="B12" s="41" t="s">
        <v>71</v>
      </c>
      <c r="C12" s="4" t="s">
        <v>78</v>
      </c>
      <c r="D12" s="4">
        <v>45658</v>
      </c>
      <c r="E12" s="4">
        <v>45838</v>
      </c>
      <c r="F12" s="4">
        <v>45658</v>
      </c>
      <c r="G12" s="4">
        <v>45838</v>
      </c>
    </row>
    <row r="13" spans="1:7" x14ac:dyDescent="0.4">
      <c r="A13" s="41">
        <v>11</v>
      </c>
      <c r="B13" s="41" t="s">
        <v>72</v>
      </c>
      <c r="C13" s="4" t="s">
        <v>78</v>
      </c>
      <c r="D13" s="4">
        <v>45658</v>
      </c>
      <c r="E13" s="4">
        <v>46022</v>
      </c>
      <c r="F13" s="4">
        <v>45658</v>
      </c>
      <c r="G13" s="4">
        <v>46022</v>
      </c>
    </row>
    <row r="14" spans="1:7" x14ac:dyDescent="0.4">
      <c r="A14" s="41">
        <v>12</v>
      </c>
      <c r="B14" s="41" t="s">
        <v>73</v>
      </c>
      <c r="C14" s="4" t="s">
        <v>79</v>
      </c>
      <c r="D14" s="4">
        <v>46023</v>
      </c>
      <c r="E14" s="4">
        <v>46112</v>
      </c>
      <c r="F14" s="4">
        <v>46023</v>
      </c>
      <c r="G14" s="4">
        <v>46112</v>
      </c>
    </row>
    <row r="15" spans="1:7" x14ac:dyDescent="0.4">
      <c r="A15" s="41">
        <v>13</v>
      </c>
      <c r="B15" s="41" t="s">
        <v>74</v>
      </c>
      <c r="C15" s="4" t="s">
        <v>79</v>
      </c>
      <c r="D15" s="4">
        <v>46054</v>
      </c>
      <c r="E15" s="4">
        <v>46173</v>
      </c>
      <c r="F15" s="4">
        <v>46054</v>
      </c>
      <c r="G15" s="4">
        <v>46173</v>
      </c>
    </row>
    <row r="16" spans="1:7" x14ac:dyDescent="0.4">
      <c r="A16" s="41">
        <v>14</v>
      </c>
      <c r="B16" s="41" t="s">
        <v>75</v>
      </c>
      <c r="C16" s="4" t="s">
        <v>79</v>
      </c>
      <c r="D16" s="4">
        <v>46023</v>
      </c>
      <c r="E16" s="4">
        <v>46173</v>
      </c>
      <c r="F16" s="4">
        <v>46023</v>
      </c>
      <c r="G16" s="4">
        <v>46173</v>
      </c>
    </row>
    <row r="17" spans="1:7" x14ac:dyDescent="0.4">
      <c r="A17" s="41">
        <v>15</v>
      </c>
      <c r="B17" s="41" t="s">
        <v>76</v>
      </c>
      <c r="C17" s="4" t="s">
        <v>79</v>
      </c>
      <c r="D17" s="4">
        <v>46113</v>
      </c>
      <c r="E17" s="4">
        <v>46203</v>
      </c>
      <c r="F17" s="4"/>
      <c r="G17" s="4"/>
    </row>
    <row r="18" spans="1:7" x14ac:dyDescent="0.4">
      <c r="A18" s="41">
        <v>16</v>
      </c>
      <c r="D18" s="4"/>
      <c r="E18" s="4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20"/>
  <sheetViews>
    <sheetView tabSelected="1" workbookViewId="0">
      <selection activeCell="L21" sqref="L21"/>
    </sheetView>
  </sheetViews>
  <sheetFormatPr defaultRowHeight="17.399999999999999" x14ac:dyDescent="0.4"/>
  <cols>
    <col min="1" max="1" width="54.59765625" bestFit="1" customWidth="1"/>
  </cols>
  <sheetData>
    <row r="1" spans="1:13" ht="17.399999999999999" customHeight="1" x14ac:dyDescent="0.4">
      <c r="A1" s="63" t="s">
        <v>35</v>
      </c>
      <c r="B1" s="63" t="s">
        <v>36</v>
      </c>
      <c r="C1" s="63" t="s">
        <v>37</v>
      </c>
      <c r="D1" s="63" t="s">
        <v>38</v>
      </c>
      <c r="E1" s="61" t="s">
        <v>46</v>
      </c>
      <c r="F1" s="61" t="s">
        <v>46</v>
      </c>
      <c r="G1" s="61" t="s">
        <v>46</v>
      </c>
      <c r="H1" s="61" t="s">
        <v>44</v>
      </c>
      <c r="I1" s="61" t="s">
        <v>44</v>
      </c>
      <c r="J1" s="61" t="s">
        <v>44</v>
      </c>
      <c r="K1" s="62" t="s">
        <v>40</v>
      </c>
      <c r="L1" s="62"/>
      <c r="M1" s="62"/>
    </row>
    <row r="2" spans="1:13" x14ac:dyDescent="0.4">
      <c r="A2" s="64"/>
      <c r="B2" s="64"/>
      <c r="C2" s="64"/>
      <c r="D2" s="64"/>
      <c r="E2" s="53" t="s">
        <v>77</v>
      </c>
      <c r="F2" s="53" t="s">
        <v>78</v>
      </c>
      <c r="G2" s="53" t="s">
        <v>79</v>
      </c>
      <c r="H2" s="53" t="s">
        <v>77</v>
      </c>
      <c r="I2" s="53" t="s">
        <v>78</v>
      </c>
      <c r="J2" s="53" t="s">
        <v>79</v>
      </c>
      <c r="K2" s="53" t="s">
        <v>77</v>
      </c>
      <c r="L2" s="53" t="s">
        <v>78</v>
      </c>
      <c r="M2" s="53" t="s">
        <v>79</v>
      </c>
    </row>
    <row r="3" spans="1:13" ht="19.2" x14ac:dyDescent="0.4">
      <c r="A3" s="54" t="s">
        <v>80</v>
      </c>
      <c r="B3" s="54" t="s">
        <v>98</v>
      </c>
      <c r="C3" s="54" t="s">
        <v>97</v>
      </c>
      <c r="D3" s="54">
        <v>32</v>
      </c>
      <c r="E3" s="54">
        <v>76</v>
      </c>
      <c r="F3" s="54">
        <v>78</v>
      </c>
      <c r="G3" s="54">
        <v>80</v>
      </c>
      <c r="H3" s="59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59" t="str" cm="1">
        <f t="array" ref="I3">IFERROR(IF(ISNUMBER(INDEX(정량지표상세!$C$2:$C$24, MATCH(1, (정량지표상세!$A$2:$A$24=$A3) * (정량지표상세!$B$2:$B$24=I$2), 0))),
    SUMIFS(정량지표상세!$C$2:$C$24, 정량지표상세!$A$2:$A$24, $A3, 정량지표상세!$B$2:$B$24, I$2),
    INDEX(정량지표상세!$C$2:$C$24, MATCH(1, (정량지표상세!$A$2:$A$24=$A3) * (정량지표상세!$B$2:$B$24=I$2), 0))),"")</f>
        <v/>
      </c>
      <c r="J3" s="59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55" t="str">
        <f t="shared" ref="K3:K20" si="0">IF(E3="","",
   IF(ISNUMBER(E3),
      IF(N(H3)/E3&gt;=1,"달성","미달성"),
      IF(E3=H3,"달성","미달성")
   )
)</f>
        <v>미달성</v>
      </c>
      <c r="L3" s="55" t="str">
        <f t="shared" ref="L3:L20" si="1">IF(F3="","",
   IF(ISNUMBER(F3),
      IF(N(I3)/F3&gt;=1,"달성","미달성"),
      IF(F3=I3,"달성","미달성")
   )
)</f>
        <v>미달성</v>
      </c>
      <c r="M3" s="55" t="str">
        <f t="shared" ref="M3:M20" si="2">IF(G3="","",
   IF(ISNUMBER(G3),
      IF(N(J3)/G3&gt;=1,"달성","미달성"),
      IF(G3=J3,"달성","미달성")
   )
)</f>
        <v>미달성</v>
      </c>
    </row>
    <row r="4" spans="1:13" ht="19.2" x14ac:dyDescent="0.4">
      <c r="A4" s="54" t="s">
        <v>82</v>
      </c>
      <c r="B4" s="54" t="s">
        <v>98</v>
      </c>
      <c r="C4" s="54" t="s">
        <v>97</v>
      </c>
      <c r="D4" s="54">
        <v>16</v>
      </c>
      <c r="E4" s="54">
        <v>75</v>
      </c>
      <c r="F4" s="54">
        <v>77</v>
      </c>
      <c r="G4" s="54">
        <v>80</v>
      </c>
      <c r="H4" s="59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59" t="str" cm="1">
        <f t="array" ref="I4">IFERROR(IF(ISNUMBER(INDEX(정량지표상세!$C$2:$C$24, MATCH(1, (정량지표상세!$A$2:$A$24=$A4) * (정량지표상세!$B$2:$B$24=I$2), 0))),
    SUMIFS(정량지표상세!$C$2:$C$24, 정량지표상세!$A$2:$A$24, $A4, 정량지표상세!$B$2:$B$24, I$2),
    INDEX(정량지표상세!$C$2:$C$24, MATCH(1, (정량지표상세!$A$2:$A$24=$A4) * (정량지표상세!$B$2:$B$24=I$2), 0))),"")</f>
        <v/>
      </c>
      <c r="J4" s="59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55" t="str">
        <f t="shared" si="0"/>
        <v>미달성</v>
      </c>
      <c r="L4" s="55" t="str">
        <f t="shared" si="1"/>
        <v>미달성</v>
      </c>
      <c r="M4" s="55" t="str">
        <f t="shared" si="2"/>
        <v>미달성</v>
      </c>
    </row>
    <row r="5" spans="1:13" ht="19.2" x14ac:dyDescent="0.4">
      <c r="A5" s="54" t="s">
        <v>81</v>
      </c>
      <c r="B5" s="54" t="s">
        <v>98</v>
      </c>
      <c r="C5" s="54" t="s">
        <v>97</v>
      </c>
      <c r="D5" s="54">
        <v>16</v>
      </c>
      <c r="E5" s="54">
        <v>75</v>
      </c>
      <c r="F5" s="54">
        <v>77</v>
      </c>
      <c r="G5" s="54">
        <v>80</v>
      </c>
      <c r="H5" s="59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59" t="str" cm="1">
        <f t="array" ref="I5">IFERROR(IF(ISNUMBER(INDEX(정량지표상세!$C$2:$C$24, MATCH(1, (정량지표상세!$A$2:$A$24=$A5) * (정량지표상세!$B$2:$B$24=I$2), 0))),
    SUMIFS(정량지표상세!$C$2:$C$24, 정량지표상세!$A$2:$A$24, $A5, 정량지표상세!$B$2:$B$24, I$2),
    INDEX(정량지표상세!$C$2:$C$24, MATCH(1, (정량지표상세!$A$2:$A$24=$A5) * (정량지표상세!$B$2:$B$24=I$2), 0))),"")</f>
        <v/>
      </c>
      <c r="J5" s="59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55" t="str">
        <f t="shared" si="0"/>
        <v>미달성</v>
      </c>
      <c r="L5" s="55" t="str">
        <f t="shared" si="1"/>
        <v>미달성</v>
      </c>
      <c r="M5" s="55" t="str">
        <f t="shared" si="2"/>
        <v>미달성</v>
      </c>
    </row>
    <row r="6" spans="1:13" x14ac:dyDescent="0.4">
      <c r="A6" s="54" t="s">
        <v>84</v>
      </c>
      <c r="B6" s="54" t="s">
        <v>99</v>
      </c>
      <c r="C6" s="54" t="s">
        <v>96</v>
      </c>
      <c r="D6" s="54">
        <v>6</v>
      </c>
      <c r="E6" s="54"/>
      <c r="F6" s="54">
        <v>1</v>
      </c>
      <c r="G6" s="54"/>
      <c r="H6" s="59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59" cm="1">
        <f t="array" ref="I6">IFERROR(IF(ISNUMBER(INDEX(정량지표상세!$C$2:$C$24, MATCH(1, (정량지표상세!$A$2:$A$24=$A6) * (정량지표상세!$B$2:$B$24=I$2), 0))),
    SUMIFS(정량지표상세!$C$2:$C$24, 정량지표상세!$A$2:$A$24, $A6, 정량지표상세!$B$2:$B$24, I$2),
    INDEX(정량지표상세!$C$2:$C$24, MATCH(1, (정량지표상세!$A$2:$A$24=$A6) * (정량지표상세!$B$2:$B$24=I$2), 0))),"")</f>
        <v>1</v>
      </c>
      <c r="J6" s="59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55" t="str">
        <f t="shared" si="0"/>
        <v/>
      </c>
      <c r="L6" s="55" t="str">
        <f t="shared" si="1"/>
        <v>달성</v>
      </c>
      <c r="M6" s="55" t="str">
        <f t="shared" si="2"/>
        <v/>
      </c>
    </row>
    <row r="7" spans="1:13" x14ac:dyDescent="0.4">
      <c r="A7" s="54" t="s">
        <v>86</v>
      </c>
      <c r="B7" s="54" t="s">
        <v>99</v>
      </c>
      <c r="C7" s="54" t="s">
        <v>96</v>
      </c>
      <c r="D7" s="54">
        <v>10</v>
      </c>
      <c r="E7" s="54"/>
      <c r="F7" s="54">
        <v>1</v>
      </c>
      <c r="G7" s="54"/>
      <c r="H7" s="59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59" cm="1">
        <f t="array" ref="I7">IFERROR(IF(ISNUMBER(INDEX(정량지표상세!$C$2:$C$24, MATCH(1, (정량지표상세!$A$2:$A$24=$A7) * (정량지표상세!$B$2:$B$24=I$2), 0))),
    SUMIFS(정량지표상세!$C$2:$C$24, 정량지표상세!$A$2:$A$24, $A7, 정량지표상세!$B$2:$B$24, I$2),
    INDEX(정량지표상세!$C$2:$C$24, MATCH(1, (정량지표상세!$A$2:$A$24=$A7) * (정량지표상세!$B$2:$B$24=I$2), 0))),"")</f>
        <v>1</v>
      </c>
      <c r="J7" s="59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55" t="str">
        <f t="shared" si="0"/>
        <v/>
      </c>
      <c r="L7" s="55" t="str">
        <f t="shared" si="1"/>
        <v>달성</v>
      </c>
      <c r="M7" s="55" t="str">
        <f t="shared" si="2"/>
        <v/>
      </c>
    </row>
    <row r="8" spans="1:13" x14ac:dyDescent="0.4">
      <c r="A8" s="54" t="s">
        <v>88</v>
      </c>
      <c r="B8" s="54" t="s">
        <v>99</v>
      </c>
      <c r="C8" s="54" t="s">
        <v>96</v>
      </c>
      <c r="D8" s="54">
        <v>10</v>
      </c>
      <c r="E8" s="54"/>
      <c r="F8" s="54"/>
      <c r="G8" s="54">
        <v>1</v>
      </c>
      <c r="H8" s="59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59" t="str" cm="1">
        <f t="array" ref="I8">IFERROR(IF(ISNUMBER(INDEX(정량지표상세!$C$2:$C$24, MATCH(1, (정량지표상세!$A$2:$A$24=$A8) * (정량지표상세!$B$2:$B$24=I$2), 0))),
    SUMIFS(정량지표상세!$C$2:$C$24, 정량지표상세!$A$2:$A$24, $A8, 정량지표상세!$B$2:$B$24, I$2),
    INDEX(정량지표상세!$C$2:$C$24, MATCH(1, (정량지표상세!$A$2:$A$24=$A8) * (정량지표상세!$B$2:$B$24=I$2), 0))),"")</f>
        <v/>
      </c>
      <c r="J8" s="59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>1</v>
      </c>
      <c r="K8" s="55" t="str">
        <f t="shared" si="0"/>
        <v/>
      </c>
      <c r="L8" s="55" t="str">
        <f t="shared" si="1"/>
        <v/>
      </c>
      <c r="M8" s="55" t="str">
        <f t="shared" si="2"/>
        <v>달성</v>
      </c>
    </row>
    <row r="9" spans="1:13" x14ac:dyDescent="0.4">
      <c r="A9" s="54" t="s">
        <v>89</v>
      </c>
      <c r="B9" s="54" t="s">
        <v>100</v>
      </c>
      <c r="C9" s="54" t="s">
        <v>96</v>
      </c>
      <c r="D9" s="54">
        <v>10</v>
      </c>
      <c r="E9" s="54"/>
      <c r="F9" s="54"/>
      <c r="G9" s="54">
        <v>1</v>
      </c>
      <c r="H9" s="59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59" t="str" cm="1">
        <f t="array" ref="I9">IFERROR(IF(ISNUMBER(INDEX(정량지표상세!$C$2:$C$24, MATCH(1, (정량지표상세!$A$2:$A$24=$A9) * (정량지표상세!$B$2:$B$24=I$2), 0))),
    SUMIFS(정량지표상세!$C$2:$C$24, 정량지표상세!$A$2:$A$24, $A9, 정량지표상세!$B$2:$B$24, I$2),
    INDEX(정량지표상세!$C$2:$C$24, MATCH(1, (정량지표상세!$A$2:$A$24=$A9) * (정량지표상세!$B$2:$B$24=I$2), 0))),"")</f>
        <v/>
      </c>
      <c r="J9" s="59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55" t="str">
        <f t="shared" si="0"/>
        <v/>
      </c>
      <c r="L9" s="55" t="str">
        <f t="shared" si="1"/>
        <v/>
      </c>
      <c r="M9" s="55" t="str">
        <f t="shared" si="2"/>
        <v>미달성</v>
      </c>
    </row>
    <row r="10" spans="1:13" x14ac:dyDescent="0.4">
      <c r="A10" s="54" t="s">
        <v>90</v>
      </c>
      <c r="B10" s="54"/>
      <c r="C10" s="54" t="s">
        <v>94</v>
      </c>
      <c r="D10" s="54"/>
      <c r="E10" s="54">
        <v>2</v>
      </c>
      <c r="F10" s="54">
        <v>1</v>
      </c>
      <c r="G10" s="54"/>
      <c r="H10" s="59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59" t="str" cm="1">
        <f t="array" ref="I10">IFERROR(IF(ISNUMBER(INDEX(정량지표상세!$C$2:$C$24, MATCH(1, (정량지표상세!$A$2:$A$24=$A10) * (정량지표상세!$B$2:$B$24=I$2), 0))),
    SUMIFS(정량지표상세!$C$2:$C$24, 정량지표상세!$A$2:$A$24, $A10, 정량지표상세!$B$2:$B$24, I$2),
    INDEX(정량지표상세!$C$2:$C$24, MATCH(1, (정량지표상세!$A$2:$A$24=$A10) * (정량지표상세!$B$2:$B$24=I$2), 0))),"")</f>
        <v/>
      </c>
      <c r="J10" s="59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55" t="str">
        <f t="shared" si="0"/>
        <v>미달성</v>
      </c>
      <c r="L10" s="55" t="str">
        <f t="shared" si="1"/>
        <v>미달성</v>
      </c>
      <c r="M10" s="55" t="str">
        <f t="shared" si="2"/>
        <v/>
      </c>
    </row>
    <row r="11" spans="1:13" x14ac:dyDescent="0.4">
      <c r="A11" s="54" t="s">
        <v>91</v>
      </c>
      <c r="B11" s="54"/>
      <c r="C11" s="54" t="s">
        <v>95</v>
      </c>
      <c r="D11" s="54"/>
      <c r="E11" s="54"/>
      <c r="F11" s="54">
        <v>580</v>
      </c>
      <c r="G11" s="54">
        <v>600</v>
      </c>
      <c r="H11" s="59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59" t="str" cm="1">
        <f t="array" ref="I11">IFERROR(IF(ISNUMBER(INDEX(정량지표상세!$C$2:$C$24, MATCH(1, (정량지표상세!$A$2:$A$24=$A11) * (정량지표상세!$B$2:$B$24=I$2), 0))),
    SUMIFS(정량지표상세!$C$2:$C$24, 정량지표상세!$A$2:$A$24, $A11, 정량지표상세!$B$2:$B$24, I$2),
    INDEX(정량지표상세!$C$2:$C$24, MATCH(1, (정량지표상세!$A$2:$A$24=$A11) * (정량지표상세!$B$2:$B$24=I$2), 0))),"")</f>
        <v/>
      </c>
      <c r="J11" s="59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55" t="str">
        <f t="shared" si="0"/>
        <v/>
      </c>
      <c r="L11" s="55" t="str">
        <f t="shared" si="1"/>
        <v>미달성</v>
      </c>
      <c r="M11" s="55" t="str">
        <f t="shared" si="2"/>
        <v>미달성</v>
      </c>
    </row>
    <row r="12" spans="1:13" x14ac:dyDescent="0.4">
      <c r="A12" s="54" t="s">
        <v>92</v>
      </c>
      <c r="B12" s="54"/>
      <c r="C12" s="54" t="s">
        <v>95</v>
      </c>
      <c r="D12" s="54"/>
      <c r="E12" s="54"/>
      <c r="F12" s="54">
        <v>1010</v>
      </c>
      <c r="G12" s="54">
        <v>5000</v>
      </c>
      <c r="H12" s="59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59" t="str" cm="1">
        <f t="array" ref="I12">IFERROR(IF(ISNUMBER(INDEX(정량지표상세!$C$2:$C$24, MATCH(1, (정량지표상세!$A$2:$A$24=$A12) * (정량지표상세!$B$2:$B$24=I$2), 0))),
    SUMIFS(정량지표상세!$C$2:$C$24, 정량지표상세!$A$2:$A$24, $A12, 정량지표상세!$B$2:$B$24, I$2),
    INDEX(정량지표상세!$C$2:$C$24, MATCH(1, (정량지표상세!$A$2:$A$24=$A12) * (정량지표상세!$B$2:$B$24=I$2), 0))),"")</f>
        <v/>
      </c>
      <c r="J12" s="59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55" t="str">
        <f t="shared" si="0"/>
        <v/>
      </c>
      <c r="L12" s="55" t="str">
        <f t="shared" si="1"/>
        <v>미달성</v>
      </c>
      <c r="M12" s="55" t="str">
        <f t="shared" si="2"/>
        <v>미달성</v>
      </c>
    </row>
    <row r="13" spans="1:13" x14ac:dyDescent="0.4">
      <c r="A13" s="54" t="s">
        <v>93</v>
      </c>
      <c r="B13" s="54"/>
      <c r="C13" s="54" t="s">
        <v>96</v>
      </c>
      <c r="D13" s="54"/>
      <c r="E13" s="54"/>
      <c r="F13" s="54">
        <v>2</v>
      </c>
      <c r="G13" s="54">
        <v>3</v>
      </c>
      <c r="H13" s="59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59" t="str" cm="1">
        <f t="array" ref="I13">IFERROR(IF(ISNUMBER(INDEX(정량지표상세!$C$2:$C$24, MATCH(1, (정량지표상세!$A$2:$A$24=$A13) * (정량지표상세!$B$2:$B$24=I$2), 0))),
    SUMIFS(정량지표상세!$C$2:$C$24, 정량지표상세!$A$2:$A$24, $A13, 정량지표상세!$B$2:$B$24, I$2),
    INDEX(정량지표상세!$C$2:$C$24, MATCH(1, (정량지표상세!$A$2:$A$24=$A13) * (정량지표상세!$B$2:$B$24=I$2), 0))),"")</f>
        <v/>
      </c>
      <c r="J13" s="59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55" t="str">
        <f t="shared" si="0"/>
        <v/>
      </c>
      <c r="L13" s="55" t="str">
        <f t="shared" si="1"/>
        <v>미달성</v>
      </c>
      <c r="M13" s="55" t="str">
        <f t="shared" si="2"/>
        <v>미달성</v>
      </c>
    </row>
    <row r="14" spans="1:13" x14ac:dyDescent="0.4">
      <c r="A14" s="54"/>
      <c r="B14" s="54"/>
      <c r="C14" s="54"/>
      <c r="D14" s="54"/>
      <c r="E14" s="54"/>
      <c r="F14" s="54"/>
      <c r="G14" s="54"/>
      <c r="H14" s="59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59" t="str" cm="1">
        <f t="array" ref="I14">IFERROR(IF(ISNUMBER(INDEX(정량지표상세!$C$2:$C$24, MATCH(1, (정량지표상세!$A$2:$A$24=$A14) * (정량지표상세!$B$2:$B$24=I$2), 0))),
    SUMIFS(정량지표상세!$C$2:$C$24, 정량지표상세!$A$2:$A$24, $A14, 정량지표상세!$B$2:$B$24, I$2),
    INDEX(정량지표상세!$C$2:$C$24, MATCH(1, (정량지표상세!$A$2:$A$24=$A14) * (정량지표상세!$B$2:$B$24=I$2), 0))),"")</f>
        <v/>
      </c>
      <c r="J14" s="59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55" t="str">
        <f t="shared" si="0"/>
        <v/>
      </c>
      <c r="L14" s="55" t="str">
        <f t="shared" si="1"/>
        <v/>
      </c>
      <c r="M14" s="55" t="str">
        <f t="shared" si="2"/>
        <v/>
      </c>
    </row>
    <row r="15" spans="1:13" x14ac:dyDescent="0.4">
      <c r="A15" s="54"/>
      <c r="B15" s="54"/>
      <c r="C15" s="54"/>
      <c r="D15" s="54"/>
      <c r="E15" s="54"/>
      <c r="F15" s="54"/>
      <c r="G15" s="54"/>
      <c r="H15" s="59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59" t="str" cm="1">
        <f t="array" ref="I15">IFERROR(IF(ISNUMBER(INDEX(정량지표상세!$C$2:$C$24, MATCH(1, (정량지표상세!$A$2:$A$24=$A15) * (정량지표상세!$B$2:$B$24=I$2), 0))),
    SUMIFS(정량지표상세!$C$2:$C$24, 정량지표상세!$A$2:$A$24, $A15, 정량지표상세!$B$2:$B$24, I$2),
    INDEX(정량지표상세!$C$2:$C$24, MATCH(1, (정량지표상세!$A$2:$A$24=$A15) * (정량지표상세!$B$2:$B$24=I$2), 0))),"")</f>
        <v/>
      </c>
      <c r="J15" s="59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55" t="str">
        <f t="shared" si="0"/>
        <v/>
      </c>
      <c r="L15" s="55" t="str">
        <f t="shared" si="1"/>
        <v/>
      </c>
      <c r="M15" s="55" t="str">
        <f t="shared" si="2"/>
        <v/>
      </c>
    </row>
    <row r="16" spans="1:13" x14ac:dyDescent="0.4">
      <c r="A16" s="54"/>
      <c r="B16" s="54"/>
      <c r="C16" s="54"/>
      <c r="D16" s="54"/>
      <c r="E16" s="54"/>
      <c r="F16" s="54"/>
      <c r="G16" s="54"/>
      <c r="H16" s="59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59" t="str" cm="1">
        <f t="array" ref="I16">IFERROR(IF(ISNUMBER(INDEX(정량지표상세!$C$2:$C$24, MATCH(1, (정량지표상세!$A$2:$A$24=$A16) * (정량지표상세!$B$2:$B$24=I$2), 0))),
    SUMIFS(정량지표상세!$C$2:$C$24, 정량지표상세!$A$2:$A$24, $A16, 정량지표상세!$B$2:$B$24, I$2),
    INDEX(정량지표상세!$C$2:$C$24, MATCH(1, (정량지표상세!$A$2:$A$24=$A16) * (정량지표상세!$B$2:$B$24=I$2), 0))),"")</f>
        <v/>
      </c>
      <c r="J16" s="59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55" t="str">
        <f t="shared" si="0"/>
        <v/>
      </c>
      <c r="L16" s="55" t="str">
        <f t="shared" si="1"/>
        <v/>
      </c>
      <c r="M16" s="55" t="str">
        <f t="shared" si="2"/>
        <v/>
      </c>
    </row>
    <row r="17" spans="1:13" x14ac:dyDescent="0.4">
      <c r="A17" s="54"/>
      <c r="B17" s="54"/>
      <c r="C17" s="54"/>
      <c r="D17" s="54"/>
      <c r="E17" s="54"/>
      <c r="F17" s="54"/>
      <c r="G17" s="54"/>
      <c r="H17" s="59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59" t="str" cm="1">
        <f t="array" ref="I17">IFERROR(IF(ISNUMBER(INDEX(정량지표상세!$C$2:$C$24, MATCH(1, (정량지표상세!$A$2:$A$24=$A17) * (정량지표상세!$B$2:$B$24=I$2), 0))),
    SUMIFS(정량지표상세!$C$2:$C$24, 정량지표상세!$A$2:$A$24, $A17, 정량지표상세!$B$2:$B$24, I$2),
    INDEX(정량지표상세!$C$2:$C$24, MATCH(1, (정량지표상세!$A$2:$A$24=$A17) * (정량지표상세!$B$2:$B$24=I$2), 0))),"")</f>
        <v/>
      </c>
      <c r="J17" s="59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55" t="str">
        <f t="shared" si="0"/>
        <v/>
      </c>
      <c r="L17" s="55" t="str">
        <f t="shared" si="1"/>
        <v/>
      </c>
      <c r="M17" s="55" t="str">
        <f t="shared" si="2"/>
        <v/>
      </c>
    </row>
    <row r="18" spans="1:13" x14ac:dyDescent="0.4">
      <c r="A18" s="54"/>
      <c r="B18" s="54"/>
      <c r="C18" s="54"/>
      <c r="D18" s="54"/>
      <c r="E18" s="54"/>
      <c r="F18" s="54"/>
      <c r="G18" s="54"/>
      <c r="H18" s="59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59" t="str" cm="1">
        <f t="array" ref="I18">IFERROR(IF(ISNUMBER(INDEX(정량지표상세!$C$2:$C$24, MATCH(1, (정량지표상세!$A$2:$A$24=$A18) * (정량지표상세!$B$2:$B$24=I$2), 0))),
    SUMIFS(정량지표상세!$C$2:$C$24, 정량지표상세!$A$2:$A$24, $A18, 정량지표상세!$B$2:$B$24, I$2),
    INDEX(정량지표상세!$C$2:$C$24, MATCH(1, (정량지표상세!$A$2:$A$24=$A18) * (정량지표상세!$B$2:$B$24=I$2), 0))),"")</f>
        <v/>
      </c>
      <c r="J18" s="59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55" t="str">
        <f t="shared" si="0"/>
        <v/>
      </c>
      <c r="L18" s="55" t="str">
        <f t="shared" si="1"/>
        <v/>
      </c>
      <c r="M18" s="55" t="str">
        <f t="shared" si="2"/>
        <v/>
      </c>
    </row>
    <row r="19" spans="1:13" x14ac:dyDescent="0.4">
      <c r="A19" s="54"/>
      <c r="B19" s="54"/>
      <c r="C19" s="54"/>
      <c r="D19" s="54"/>
      <c r="E19" s="54"/>
      <c r="F19" s="54"/>
      <c r="G19" s="54"/>
      <c r="H19" s="59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59" t="str" cm="1">
        <f t="array" ref="I19">IFERROR(IF(ISNUMBER(INDEX(정량지표상세!$C$2:$C$24, MATCH(1, (정량지표상세!$A$2:$A$24=$A19) * (정량지표상세!$B$2:$B$24=I$2), 0))),
    SUMIFS(정량지표상세!$C$2:$C$24, 정량지표상세!$A$2:$A$24, $A19, 정량지표상세!$B$2:$B$24, I$2),
    INDEX(정량지표상세!$C$2:$C$24, MATCH(1, (정량지표상세!$A$2:$A$24=$A19) * (정량지표상세!$B$2:$B$24=I$2), 0))),"")</f>
        <v/>
      </c>
      <c r="J19" s="59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55" t="str">
        <f t="shared" si="0"/>
        <v/>
      </c>
      <c r="L19" s="55" t="str">
        <f t="shared" si="1"/>
        <v/>
      </c>
      <c r="M19" s="55" t="str">
        <f t="shared" si="2"/>
        <v/>
      </c>
    </row>
    <row r="20" spans="1:13" x14ac:dyDescent="0.4">
      <c r="A20" s="54" t="s">
        <v>41</v>
      </c>
      <c r="B20" s="54"/>
      <c r="C20" s="56"/>
      <c r="D20" s="54">
        <f>SUM(D3:D19)</f>
        <v>100</v>
      </c>
      <c r="E20" s="56"/>
      <c r="F20" s="56"/>
      <c r="G20" s="56"/>
      <c r="H20" s="59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59" t="str" cm="1">
        <f t="array" ref="I20">IFERROR(IF(ISNUMBER(INDEX(정량지표상세!$C$2:$C$24, MATCH(1, (정량지표상세!$A$2:$A$24=$A20) * (정량지표상세!$B$2:$B$24=I$2), 0))),
    SUMIFS(정량지표상세!$C$2:$C$24, 정량지표상세!$A$2:$A$24, $A20, 정량지표상세!$B$2:$B$24, I$2),
    INDEX(정량지표상세!$C$2:$C$24, MATCH(1, (정량지표상세!$A$2:$A$24=$A20) * (정량지표상세!$B$2:$B$24=I$2), 0))),"")</f>
        <v/>
      </c>
      <c r="J20" s="59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55" t="str">
        <f t="shared" si="0"/>
        <v/>
      </c>
      <c r="L20" s="55" t="str">
        <f t="shared" si="1"/>
        <v/>
      </c>
      <c r="M20" s="55" t="str">
        <f t="shared" si="2"/>
        <v/>
      </c>
    </row>
  </sheetData>
  <mergeCells count="5">
    <mergeCell ref="K1:M1"/>
    <mergeCell ref="A1:A2"/>
    <mergeCell ref="B1:B2"/>
    <mergeCell ref="C1:C2"/>
    <mergeCell ref="D1:D2"/>
  </mergeCells>
  <phoneticPr fontId="3" type="noConversion"/>
  <conditionalFormatting sqref="K3:M20">
    <cfRule type="cellIs" dxfId="0" priority="1" operator="equal">
      <formula>"달성"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24"/>
  <sheetViews>
    <sheetView workbookViewId="0">
      <selection activeCell="B8" sqref="B8"/>
    </sheetView>
  </sheetViews>
  <sheetFormatPr defaultRowHeight="17.399999999999999" x14ac:dyDescent="0.4"/>
  <cols>
    <col min="1" max="1" width="54.59765625" bestFit="1" customWidth="1"/>
    <col min="2" max="2" width="11.296875" bestFit="1" customWidth="1"/>
    <col min="3" max="3" width="9.09765625" bestFit="1" customWidth="1"/>
    <col min="4" max="4" width="8.5" bestFit="1" customWidth="1"/>
  </cols>
  <sheetData>
    <row r="1" spans="1:4" x14ac:dyDescent="0.4">
      <c r="A1" s="57" t="s">
        <v>42</v>
      </c>
      <c r="B1" s="58" t="s">
        <v>43</v>
      </c>
      <c r="C1" s="58" t="s">
        <v>44</v>
      </c>
      <c r="D1" s="58" t="s">
        <v>39</v>
      </c>
    </row>
    <row r="2" spans="1:4" ht="19.2" x14ac:dyDescent="0.4">
      <c r="A2" t="s">
        <v>83</v>
      </c>
      <c r="B2" t="s">
        <v>59</v>
      </c>
      <c r="C2">
        <v>1</v>
      </c>
      <c r="D2" s="54" t="s">
        <v>45</v>
      </c>
    </row>
    <row r="3" spans="1:4" ht="19.2" x14ac:dyDescent="0.4">
      <c r="A3" t="s">
        <v>85</v>
      </c>
      <c r="B3" t="s">
        <v>59</v>
      </c>
      <c r="C3">
        <v>1</v>
      </c>
      <c r="D3" s="54" t="s">
        <v>45</v>
      </c>
    </row>
    <row r="4" spans="1:4" ht="19.2" x14ac:dyDescent="0.4">
      <c r="A4" t="s">
        <v>87</v>
      </c>
      <c r="B4" t="s">
        <v>60</v>
      </c>
      <c r="C4">
        <v>1</v>
      </c>
      <c r="D4" s="54" t="s">
        <v>45</v>
      </c>
    </row>
    <row r="5" spans="1:4" ht="19.2" x14ac:dyDescent="0.4">
      <c r="D5" s="54" t="s">
        <v>45</v>
      </c>
    </row>
    <row r="6" spans="1:4" ht="19.2" x14ac:dyDescent="0.4">
      <c r="D6" s="54" t="s">
        <v>45</v>
      </c>
    </row>
    <row r="7" spans="1:4" ht="19.2" x14ac:dyDescent="0.4">
      <c r="D7" s="54" t="s">
        <v>45</v>
      </c>
    </row>
    <row r="8" spans="1:4" ht="19.2" x14ac:dyDescent="0.4">
      <c r="D8" s="54" t="s">
        <v>45</v>
      </c>
    </row>
    <row r="9" spans="1:4" ht="19.2" x14ac:dyDescent="0.4">
      <c r="D9" s="54" t="s">
        <v>45</v>
      </c>
    </row>
    <row r="10" spans="1:4" ht="19.2" x14ac:dyDescent="0.4">
      <c r="D10" s="54" t="s">
        <v>45</v>
      </c>
    </row>
    <row r="11" spans="1:4" ht="19.2" x14ac:dyDescent="0.4">
      <c r="D11" s="54" t="s">
        <v>45</v>
      </c>
    </row>
    <row r="12" spans="1:4" ht="19.2" x14ac:dyDescent="0.4">
      <c r="D12" s="54" t="s">
        <v>45</v>
      </c>
    </row>
    <row r="13" spans="1:4" ht="19.2" x14ac:dyDescent="0.4">
      <c r="D13" s="54" t="s">
        <v>45</v>
      </c>
    </row>
    <row r="14" spans="1:4" ht="19.2" x14ac:dyDescent="0.4">
      <c r="D14" s="54" t="s">
        <v>45</v>
      </c>
    </row>
    <row r="15" spans="1:4" ht="19.2" x14ac:dyDescent="0.4">
      <c r="D15" s="54" t="s">
        <v>45</v>
      </c>
    </row>
    <row r="16" spans="1:4" ht="19.2" x14ac:dyDescent="0.4">
      <c r="D16" s="54" t="s">
        <v>45</v>
      </c>
    </row>
    <row r="17" spans="4:4" ht="19.2" x14ac:dyDescent="0.4">
      <c r="D17" s="54" t="s">
        <v>45</v>
      </c>
    </row>
    <row r="18" spans="4:4" ht="19.2" x14ac:dyDescent="0.4">
      <c r="D18" s="54" t="s">
        <v>45</v>
      </c>
    </row>
    <row r="19" spans="4:4" ht="19.2" x14ac:dyDescent="0.4">
      <c r="D19" s="54" t="s">
        <v>45</v>
      </c>
    </row>
    <row r="20" spans="4:4" ht="19.2" x14ac:dyDescent="0.4">
      <c r="D20" s="54" t="s">
        <v>45</v>
      </c>
    </row>
    <row r="21" spans="4:4" ht="19.2" x14ac:dyDescent="0.4">
      <c r="D21" s="54" t="s">
        <v>45</v>
      </c>
    </row>
    <row r="22" spans="4:4" ht="19.2" x14ac:dyDescent="0.4">
      <c r="D22" s="54" t="s">
        <v>45</v>
      </c>
    </row>
    <row r="23" spans="4:4" ht="19.2" x14ac:dyDescent="0.4">
      <c r="D23" s="54" t="s">
        <v>45</v>
      </c>
    </row>
    <row r="24" spans="4:4" ht="19.2" x14ac:dyDescent="0.4">
      <c r="D24" s="54" t="s">
        <v>45</v>
      </c>
    </row>
  </sheetData>
  <phoneticPr fontId="3" type="noConversion"/>
  <dataValidations count="1">
    <dataValidation type="list" allowBlank="1" showInputMessage="1" showErrorMessage="1" sqref="A2:A24" xr:uid="{FD39D08A-B184-4863-963A-BED8FE67F010}">
      <formula1>$A$32:$A$49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F1AA64A-1E17-4A37-91B7-C07A673F52E3}">
          <x14:formula1>
            <xm:f>사업비!$A$2:$A$6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사업비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2026-05-26T05:25:03Z</dcterms:modified>
  <cp:category/>
  <cp:contentStatus/>
</cp:coreProperties>
</file>