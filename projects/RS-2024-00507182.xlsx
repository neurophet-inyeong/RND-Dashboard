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9C335949-369F-4C5B-9D31-2296620EF176}" xr6:coauthVersionLast="47" xr6:coauthVersionMax="47" xr10:uidLastSave="{00000000-0000-0000-0000-000000000000}"/>
  <bookViews>
    <workbookView xWindow="9510" yWindow="-90" windowWidth="19380" windowHeight="10260" activeTab="3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L4" i="5"/>
  <c r="M4" i="5"/>
  <c r="K5" i="5"/>
  <c r="L5" i="5"/>
  <c r="M5" i="5"/>
  <c r="K6" i="5"/>
  <c r="L6" i="5"/>
  <c r="M6" i="5"/>
  <c r="K7" i="5"/>
  <c r="L7" i="5"/>
  <c r="M7" i="5"/>
  <c r="K8" i="5"/>
  <c r="L8" i="5"/>
  <c r="M8" i="5"/>
  <c r="K9" i="5"/>
  <c r="L9" i="5"/>
  <c r="M9" i="5"/>
  <c r="K10" i="5"/>
  <c r="L10" i="5"/>
  <c r="M10" i="5"/>
  <c r="K11" i="5"/>
  <c r="L11" i="5"/>
  <c r="M11" i="5"/>
  <c r="K12" i="5"/>
  <c r="L12" i="5"/>
  <c r="M12" i="5"/>
  <c r="K13" i="5"/>
  <c r="L13" i="5"/>
  <c r="M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L3" i="5"/>
  <c r="M3" i="5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/>
  <c r="H21" i="5" a="1"/>
  <c r="H21" i="5" s="1"/>
  <c r="I21" i="5" a="1"/>
  <c r="I21" i="5" s="1"/>
  <c r="J21" i="5" a="1"/>
  <c r="J21" i="5" s="1"/>
  <c r="H22" i="5" a="1"/>
  <c r="H22" i="5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I3" i="5" a="1"/>
  <c r="I3" i="5" s="1"/>
  <c r="J3" i="5" a="1"/>
  <c r="J3" i="5" s="1"/>
  <c r="H3" i="5" a="1"/>
  <c r="H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M31" i="5" l="1"/>
  <c r="K31" i="5"/>
  <c r="D31" i="5"/>
  <c r="K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<sst xmlns="http://schemas.openxmlformats.org/spreadsheetml/2006/main" count="181" uniqueCount="119">
  <si>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</si>
  <si>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</si>
  <si>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</si>
  <si>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</si>
  <si>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</si>
  <si>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</si>
  <si>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</si>
  <si>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</si>
  <si>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</si>
  <si>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</si>
  <si>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</si>
  <si>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</si>
  <si>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</si>
  <si>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</si>
  <si>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</si>
  <si>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</si>
  <si>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</si>
  <si>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</si>
  <si>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</si>
  <si>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주관(김동현)</t>
  </si>
  <si>
    <t>명</t>
  </si>
  <si>
    <t>뉴로핏 주식회사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</si>
  <si>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</si>
  <si>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</si>
  <si>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</si>
  <si>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</si>
  <si>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</si>
  <si>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</si>
  <si>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</si>
  <si>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</si>
  <si>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</si>
  <si>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</si>
  <si>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</si>
  <si>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</si>
  <si>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</si>
  <si>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</si>
  <si>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</si>
  <si>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</si>
  <si>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</si>
  <si>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</si>
  <si>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</si>
  <si>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</si>
  <si>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</si>
  <si>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</si>
  <si>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</si>
  <si>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</si>
  <si>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</si>
  <si>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</si>
  <si>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</si>
  <si>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</si>
  <si>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</si>
  <si>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</si>
  <si>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</si>
  <si>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</si>
  <si>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</si>
  <si>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</si>
  <si>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</si>
  <si>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</si>
  <si>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</si>
  <si>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</si>
  <si>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</si>
  <si>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</si>
  <si>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</si>
  <si>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</si>
  <si>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</si>
  <si>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</si>
  <si>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</si>
  <si>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</si>
  <si>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</si>
  <si>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</si>
  <si>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</si>
  <si>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</si>
  <si>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</si>
  <si>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</si>
  <si>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</si>
  <si>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</si>
  <si>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</si>
  <si>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</si>
  <si>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</si>
  <si>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</si>
  <si>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</si>
  <si>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</si>
  <si>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</si>
  <si>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</si>
  <si>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</si>
  <si>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</si>
  <si>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</si>
  <si>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</si>
  <si>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</si>
  <si>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</si>
  <si>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</si>
  <si>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</si>
  <si>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</si>
  <si>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</si>
  <si>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</si>
  <si>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</si>
  <si>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</si>
  <si>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</si>
  <si>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</si>
  <si>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</si>
  <si>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</si>
  <si>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</si>
  <si>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</si>
  <si>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</si>
  <si>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</si>
  <si>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</si>
  <si>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</si>
  <si>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</si>
  <si>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</si>
  <si>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국내매출</t>
  </si>
  <si>
    <t>백만원</t>
  </si>
  <si>
    <t>수출</t>
  </si>
  <si>
    <t>특허</t>
  </si>
  <si>
    <t>종료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</si>
  <si>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</si>
  <si>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</si>
  <si>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</si>
  <si>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</si>
  <si>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최종보고서 작성중 ~8/31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</si>
</sst>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G2" sqref="G2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3.0976562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23</v>
      </c>
      <c r="B1" s="1" t="s">
        <v>24</v>
      </c>
      <c r="F1" s="1"/>
      <c r="G1" s="4" t="s">
        <v>39</v>
      </c>
    </row>
    <row r="2" spans="1:10" ht="17.399999999999999" x14ac:dyDescent="0.4">
      <c r="A2" t="s">
        <v>25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RS-2024-00507182</v>
      </c>
    </row>
    <row r="3" spans="1:10" ht="17.399999999999999" x14ac:dyDescent="0.4">
      <c r="A3" t="s">
        <v>26</v>
      </c>
      <c r="B3" t="s">
        <v>72</v>
      </c>
      <c r="E3" s="1"/>
      <c r="F3" s="1"/>
      <c r="G3" s="1"/>
    </row>
    <row r="4" spans="1:10" ht="17.399999999999999" x14ac:dyDescent="0.4">
      <c r="A4" t="s">
        <v>27</v>
      </c>
      <c r="B4" t="s">
        <v>73</v>
      </c>
      <c r="E4" s="1"/>
      <c r="F4" s="1"/>
      <c r="G4" s="1"/>
    </row>
    <row r="5" spans="1:10" ht="17.399999999999999" x14ac:dyDescent="0.4">
      <c r="A5" t="s">
        <v>28</v>
      </c>
      <c r="B5" t="s">
        <v>74</v>
      </c>
      <c r="E5" s="1"/>
      <c r="F5" s="1"/>
      <c r="G5" s="1"/>
    </row>
    <row r="6" spans="1:10" ht="17.399999999999999" x14ac:dyDescent="0.4">
      <c r="A6" t="s">
        <v>29</v>
      </c>
      <c r="B6" t="s">
        <v>75</v>
      </c>
      <c r="E6" s="1"/>
      <c r="F6" s="1"/>
      <c r="G6" s="1"/>
    </row>
    <row r="7" spans="1:10" ht="17.399999999999999" x14ac:dyDescent="0.4">
      <c r="A7" t="s">
        <v>30</v>
      </c>
      <c r="B7" t="s">
        <v>76</v>
      </c>
      <c r="E7" s="1"/>
      <c r="F7" s="1"/>
      <c r="G7" s="1"/>
    </row>
    <row r="8" spans="1:10" ht="17.399999999999999" x14ac:dyDescent="0.4">
      <c r="A8" t="s">
        <v>31</v>
      </c>
      <c r="B8" t="s">
        <v>19</v>
      </c>
      <c r="E8" s="1"/>
      <c r="F8" s="1"/>
      <c r="G8" s="1"/>
    </row>
    <row r="9" spans="1:10" ht="17.399999999999999" x14ac:dyDescent="0.4">
      <c r="A9" t="s">
        <v>32</v>
      </c>
      <c r="B9" t="s">
        <v>77</v>
      </c>
      <c r="C9" s="5"/>
      <c r="E9" s="1"/>
      <c r="F9" s="1"/>
      <c r="G9" s="1"/>
    </row>
    <row r="10" spans="1:10" ht="17.399999999999999" x14ac:dyDescent="0.4">
      <c r="A10" t="s">
        <v>33</v>
      </c>
      <c r="B10" t="s">
        <v>113</v>
      </c>
      <c r="C10" s="6"/>
      <c r="D10" s="5"/>
      <c r="E10" s="5"/>
      <c r="F10" s="1"/>
      <c r="G10" s="1"/>
    </row>
    <row r="11" spans="1:10" ht="17.399999999999999" x14ac:dyDescent="0.4">
      <c r="A11" t="s">
        <v>34</v>
      </c>
      <c r="B11" t="s">
        <v>113</v>
      </c>
      <c r="C11" s="5"/>
      <c r="D11" s="5"/>
      <c r="E11" s="5"/>
      <c r="F11" s="1"/>
      <c r="G11" s="1"/>
    </row>
    <row r="12" spans="1:10" ht="17.399999999999999" x14ac:dyDescent="0.4">
      <c r="A12" t="s">
        <v>35</v>
      </c>
      <c r="B12" t="s">
        <v>78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36</v>
      </c>
      <c r="B13" t="s">
        <v>79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37</v>
      </c>
      <c r="B14" s="24">
        <v>45511</v>
      </c>
      <c r="E14" s="1"/>
      <c r="F14" s="5"/>
      <c r="G14" s="1"/>
    </row>
    <row r="15" spans="1:10" ht="17.399999999999999" x14ac:dyDescent="0.4">
      <c r="A15" t="s">
        <v>38</v>
      </c>
      <c r="B15" t="s">
        <v>80</v>
      </c>
      <c r="C15" s="5"/>
      <c r="E15" s="1"/>
      <c r="F15" s="1"/>
      <c r="G15" s="1"/>
    </row>
    <row r="17" spans="1:15" ht="10.8" x14ac:dyDescent="0.4">
      <c r="A17" s="1" t="s">
        <v>23</v>
      </c>
      <c r="B17" s="1" t="s">
        <v>24</v>
      </c>
      <c r="C17" s="1" t="s">
        <v>40</v>
      </c>
      <c r="D17" s="1" t="s">
        <v>41</v>
      </c>
      <c r="E17" s="25" t="s">
        <v>42</v>
      </c>
      <c r="F17" s="5" t="s">
        <v>43</v>
      </c>
      <c r="G17" s="26" t="s">
        <v>44</v>
      </c>
      <c r="H17" s="1" t="s">
        <v>45</v>
      </c>
      <c r="I17" s="1" t="s">
        <v>46</v>
      </c>
      <c r="J17" s="1" t="s">
        <v>47</v>
      </c>
      <c r="K17" s="1" t="s">
        <v>48</v>
      </c>
      <c r="L17" s="1" t="s">
        <v>49</v>
      </c>
      <c r="M17" s="1" t="s">
        <v>50</v>
      </c>
      <c r="N17" s="1" t="s">
        <v>51</v>
      </c>
      <c r="O17" s="1" t="s">
        <v>52</v>
      </c>
    </row>
    <row r="18" spans="1:15" ht="17.399999999999999" x14ac:dyDescent="0.4">
      <c r="A18" t="s">
        <v>53</v>
      </c>
      <c r="B18" t="s">
        <v>54</v>
      </c>
      <c r="C18" t="s">
        <v>55</v>
      </c>
      <c r="D18" t="s">
        <v>56</v>
      </c>
      <c r="E18" t="s">
        <v>57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L18" t="s">
        <v>64</v>
      </c>
      <c r="M18" t="s">
        <v>65</v>
      </c>
      <c r="N18" t="s">
        <v>66</v>
      </c>
      <c r="O18" t="s">
        <v>2</v>
      </c>
    </row>
    <row r="19" spans="1:15" ht="17.399999999999999" x14ac:dyDescent="0.4">
      <c r="A19" t="s">
        <v>68</v>
      </c>
      <c r="B19" s="24">
        <v>45474</v>
      </c>
      <c r="C19" s="24">
        <v>45657</v>
      </c>
      <c r="D19">
        <v>6</v>
      </c>
      <c r="E19" s="27">
        <v>0</v>
      </c>
      <c r="F19" s="27">
        <v>50000000</v>
      </c>
      <c r="G19" s="27">
        <v>23000000</v>
      </c>
      <c r="H19" s="27">
        <v>9734000</v>
      </c>
      <c r="I19" s="27">
        <v>14599000</v>
      </c>
      <c r="J19" s="27">
        <v>24333000</v>
      </c>
      <c r="K19" s="27">
        <v>82734000</v>
      </c>
      <c r="L19" s="27">
        <v>14599000</v>
      </c>
      <c r="M19" s="27">
        <v>97333000</v>
      </c>
      <c r="N19" s="27"/>
      <c r="O19" s="27"/>
    </row>
    <row r="20" spans="1:15" ht="17.399999999999999" x14ac:dyDescent="0.4">
      <c r="A20" t="s">
        <v>69</v>
      </c>
      <c r="B20" s="24">
        <v>45658</v>
      </c>
      <c r="C20" s="24">
        <v>46022</v>
      </c>
      <c r="D20">
        <v>12</v>
      </c>
      <c r="E20" s="27">
        <v>24238000</v>
      </c>
      <c r="F20" s="27">
        <v>100000000</v>
      </c>
      <c r="G20" s="27">
        <v>54000000</v>
      </c>
      <c r="H20" s="27">
        <v>20534000</v>
      </c>
      <c r="I20" s="27">
        <v>30800000</v>
      </c>
      <c r="J20" s="27">
        <v>51334000</v>
      </c>
      <c r="K20" s="27">
        <v>174534000</v>
      </c>
      <c r="L20" s="27">
        <v>30800000</v>
      </c>
      <c r="M20" s="27">
        <v>205334000</v>
      </c>
      <c r="N20" s="27"/>
      <c r="O20" s="27"/>
    </row>
    <row r="21" spans="1:15" ht="17.399999999999999" x14ac:dyDescent="0.4">
      <c r="A21" t="s">
        <v>70</v>
      </c>
      <c r="B21" s="24">
        <v>46023</v>
      </c>
      <c r="C21" s="24">
        <v>46203</v>
      </c>
      <c r="D21">
        <v>6</v>
      </c>
      <c r="E21" s="27">
        <v>48516666</v>
      </c>
      <c r="F21" s="27">
        <v>50000000</v>
      </c>
      <c r="G21" s="27">
        <v>23000000</v>
      </c>
      <c r="H21" s="27">
        <v>9734000</v>
      </c>
      <c r="I21" s="27">
        <v>14599000</v>
      </c>
      <c r="J21" s="27">
        <v>24333000</v>
      </c>
      <c r="K21" s="27">
        <v>82734000</v>
      </c>
      <c r="L21" s="27">
        <v>14599000</v>
      </c>
      <c r="M21" s="27">
        <v>97333000</v>
      </c>
      <c r="N21" s="27"/>
      <c r="O21" s="27"/>
    </row>
    <row r="22" spans="1:15" ht="17.399999999999999" x14ac:dyDescent="0.4">
      <c r="A22"/>
      <c r="B22" s="24"/>
      <c r="C22" s="24"/>
      <c r="D22" t="s">
        <v>71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71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67</v>
      </c>
      <c r="B24"/>
      <c r="C24"/>
      <c r="D24">
        <v>24</v>
      </c>
      <c r="E24" s="27">
        <v>0</v>
      </c>
      <c r="F24" s="27">
        <v>200000000</v>
      </c>
      <c r="G24" s="27">
        <v>100000000</v>
      </c>
      <c r="H24" s="27">
        <v>40002000</v>
      </c>
      <c r="I24" s="27">
        <v>59998000</v>
      </c>
      <c r="J24" s="27">
        <v>100000000</v>
      </c>
      <c r="K24" s="27">
        <v>340002000</v>
      </c>
      <c r="L24" s="27">
        <v>59998000</v>
      </c>
      <c r="M24" s="27">
        <v>400000000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6" sqref="B6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68</v>
      </c>
      <c r="D3" s="9">
        <v>45474</v>
      </c>
      <c r="E3" s="9">
        <v>45596</v>
      </c>
      <c r="F3" s="9">
        <v>45474</v>
      </c>
      <c r="G3" s="9">
        <v>45596</v>
      </c>
    </row>
    <row r="4" spans="1:7" x14ac:dyDescent="0.4">
      <c r="A4" s="15">
        <v>2</v>
      </c>
      <c r="B4" s="12" t="s">
        <v>82</v>
      </c>
      <c r="C4" s="9" t="s">
        <v>68</v>
      </c>
      <c r="D4" s="9">
        <v>45505</v>
      </c>
      <c r="E4" s="9">
        <v>45626</v>
      </c>
      <c r="F4" s="9">
        <v>45505</v>
      </c>
      <c r="G4" s="9">
        <v>45626</v>
      </c>
    </row>
    <row r="5" spans="1:7" x14ac:dyDescent="0.4">
      <c r="A5" s="15">
        <v>3</v>
      </c>
      <c r="B5" s="12" t="s">
        <v>83</v>
      </c>
      <c r="C5" s="9" t="s">
        <v>68</v>
      </c>
      <c r="D5" s="9">
        <v>45505</v>
      </c>
      <c r="E5" s="9">
        <v>45657</v>
      </c>
      <c r="F5" s="9">
        <v>45505</v>
      </c>
      <c r="G5" s="9">
        <v>45657</v>
      </c>
    </row>
    <row r="6" spans="1:7" x14ac:dyDescent="0.4">
      <c r="A6" s="15">
        <v>4</v>
      </c>
      <c r="B6" s="12" t="s">
        <v>84</v>
      </c>
      <c r="C6" s="9" t="s">
        <v>68</v>
      </c>
      <c r="D6" s="9">
        <v>45505</v>
      </c>
      <c r="E6" s="9">
        <v>45657</v>
      </c>
      <c r="F6" s="9">
        <v>45505</v>
      </c>
      <c r="G6" s="9">
        <v>45657</v>
      </c>
    </row>
    <row r="7" spans="1:7" x14ac:dyDescent="0.4">
      <c r="A7" s="15">
        <v>5</v>
      </c>
      <c r="B7" s="12" t="s">
        <v>85</v>
      </c>
      <c r="C7" s="9" t="s">
        <v>68</v>
      </c>
      <c r="D7" s="9">
        <v>45597</v>
      </c>
      <c r="E7" s="9">
        <v>45657</v>
      </c>
      <c r="F7" s="9">
        <v>45597</v>
      </c>
      <c r="G7" s="9">
        <v>45657</v>
      </c>
    </row>
    <row r="8" spans="1:7" x14ac:dyDescent="0.4">
      <c r="A8" s="15">
        <v>6</v>
      </c>
      <c r="B8" s="13" t="s">
        <v>86</v>
      </c>
      <c r="C8" s="9" t="s">
        <v>68</v>
      </c>
      <c r="D8" s="9">
        <v>45627</v>
      </c>
      <c r="E8" s="9">
        <v>45657</v>
      </c>
      <c r="F8" s="9">
        <v>45627</v>
      </c>
      <c r="G8" s="9">
        <v>45657</v>
      </c>
    </row>
    <row r="9" spans="1:7" x14ac:dyDescent="0.4">
      <c r="A9" s="15">
        <v>7</v>
      </c>
      <c r="B9" s="13" t="s">
        <v>87</v>
      </c>
      <c r="C9" s="9" t="s">
        <v>69</v>
      </c>
      <c r="D9" s="9">
        <v>45658</v>
      </c>
      <c r="E9" s="9">
        <v>46022</v>
      </c>
      <c r="F9" s="9">
        <v>45658</v>
      </c>
      <c r="G9" s="9">
        <v>46022</v>
      </c>
    </row>
    <row r="10" spans="1:7" x14ac:dyDescent="0.4">
      <c r="A10" s="15">
        <v>8</v>
      </c>
      <c r="B10" s="12" t="s">
        <v>88</v>
      </c>
      <c r="C10" s="9" t="s">
        <v>69</v>
      </c>
      <c r="D10" s="9">
        <v>45658</v>
      </c>
      <c r="E10" s="9">
        <v>46022</v>
      </c>
      <c r="F10" s="9">
        <v>45658</v>
      </c>
      <c r="G10" s="9">
        <v>46022</v>
      </c>
    </row>
    <row r="11" spans="1:7" x14ac:dyDescent="0.4">
      <c r="A11" s="15">
        <v>9</v>
      </c>
      <c r="B11" s="12" t="s">
        <v>89</v>
      </c>
      <c r="C11" s="9" t="s">
        <v>69</v>
      </c>
      <c r="D11" s="9">
        <v>45658</v>
      </c>
      <c r="E11" s="9">
        <v>45747</v>
      </c>
      <c r="F11" s="9">
        <v>45658</v>
      </c>
      <c r="G11" s="9">
        <v>45747</v>
      </c>
    </row>
    <row r="12" spans="1:7" x14ac:dyDescent="0.4">
      <c r="A12" s="15">
        <v>10</v>
      </c>
      <c r="B12" s="12" t="s">
        <v>90</v>
      </c>
      <c r="C12" s="9" t="s">
        <v>69</v>
      </c>
      <c r="D12" s="9">
        <v>45658</v>
      </c>
      <c r="E12" s="9">
        <v>45838</v>
      </c>
      <c r="F12" s="9">
        <v>45658</v>
      </c>
      <c r="G12" s="9">
        <v>45838</v>
      </c>
    </row>
    <row r="13" spans="1:7" x14ac:dyDescent="0.4">
      <c r="A13" s="15">
        <v>11</v>
      </c>
      <c r="B13" s="12" t="s">
        <v>91</v>
      </c>
      <c r="C13" s="9" t="s">
        <v>69</v>
      </c>
      <c r="D13" s="9">
        <v>45658</v>
      </c>
      <c r="E13" s="9">
        <v>46022</v>
      </c>
      <c r="F13" s="9">
        <v>45658</v>
      </c>
      <c r="G13" s="9">
        <v>46022</v>
      </c>
    </row>
    <row r="14" spans="1:7" x14ac:dyDescent="0.4">
      <c r="A14" s="15">
        <v>12</v>
      </c>
      <c r="B14" s="12" t="s">
        <v>92</v>
      </c>
      <c r="C14" s="9" t="s">
        <v>70</v>
      </c>
      <c r="D14" s="9">
        <v>46023</v>
      </c>
      <c r="E14" s="9">
        <v>46112</v>
      </c>
      <c r="F14" s="9">
        <v>46023</v>
      </c>
      <c r="G14" s="9">
        <v>46112</v>
      </c>
    </row>
    <row r="15" spans="1:7" x14ac:dyDescent="0.4">
      <c r="A15" s="15">
        <v>13</v>
      </c>
      <c r="B15" s="12" t="s">
        <v>93</v>
      </c>
      <c r="C15" s="9" t="s">
        <v>70</v>
      </c>
      <c r="D15" s="9">
        <v>46054</v>
      </c>
      <c r="E15" s="9">
        <v>46173</v>
      </c>
      <c r="F15" s="9">
        <v>46054</v>
      </c>
      <c r="G15" s="9">
        <v>46173</v>
      </c>
    </row>
    <row r="16" spans="1:7" x14ac:dyDescent="0.4">
      <c r="A16" s="15">
        <v>14</v>
      </c>
      <c r="B16" s="12" t="s">
        <v>94</v>
      </c>
      <c r="C16" s="9" t="s">
        <v>70</v>
      </c>
      <c r="D16" s="9">
        <v>46023</v>
      </c>
      <c r="E16" s="9">
        <v>46173</v>
      </c>
      <c r="F16" s="9">
        <v>46023</v>
      </c>
      <c r="G16" s="9">
        <v>46173</v>
      </c>
    </row>
    <row r="17" spans="1:7" x14ac:dyDescent="0.4">
      <c r="A17" s="15">
        <v>15</v>
      </c>
      <c r="B17" s="14" t="s">
        <v>95</v>
      </c>
      <c r="C17" s="9" t="s">
        <v>70</v>
      </c>
      <c r="D17" s="9">
        <v>46113</v>
      </c>
      <c r="E17" s="9">
        <v>46203</v>
      </c>
      <c r="F17" s="9"/>
      <c r="G17" s="9"/>
    </row>
    <row r="18" spans="1:7" x14ac:dyDescent="0.4">
      <c r="A18" s="15" t="s">
        <v>71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sqref="A1:A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3"/>
      <c r="H1" s="32" t="s">
        <v>16</v>
      </c>
      <c r="I1" s="33"/>
      <c r="J1" s="33"/>
      <c r="K1" s="31" t="s">
        <v>13</v>
      </c>
      <c r="L1" s="31"/>
      <c r="M1" s="31"/>
    </row>
    <row r="2" spans="1:13" x14ac:dyDescent="0.4">
      <c r="A2" s="30"/>
      <c r="B2" s="30"/>
      <c r="C2" s="30"/>
      <c r="D2" s="30"/>
      <c r="E2" s="19" t="s">
        <v>68</v>
      </c>
      <c r="F2" s="19" t="s">
        <v>69</v>
      </c>
      <c r="G2" s="19" t="s">
        <v>70</v>
      </c>
      <c r="H2" s="19" t="s">
        <v>68</v>
      </c>
      <c r="I2" s="19" t="s">
        <v>69</v>
      </c>
      <c r="J2" s="19" t="s">
        <v>70</v>
      </c>
      <c r="K2" s="19" t="s">
        <v>68</v>
      </c>
      <c r="L2" s="19" t="s">
        <v>69</v>
      </c>
      <c r="M2" s="19" t="s">
        <v>70</v>
      </c>
    </row>
    <row r="3" spans="1:13" ht="21.6" x14ac:dyDescent="0.4">
      <c r="A3" s="21" t="s">
        <v>96</v>
      </c>
      <c r="B3" s="21" t="s">
        <v>97</v>
      </c>
      <c r="C3" s="21" t="s">
        <v>98</v>
      </c>
      <c r="D3" s="21">
        <v>32</v>
      </c>
      <c r="E3" s="21">
        <v>76</v>
      </c>
      <c r="F3" s="21">
        <v>78</v>
      </c>
      <c r="G3" s="21">
        <v>80</v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3" t="str">
        <f t="shared" ref="K3" si="0">IF(E3="","",
   IF(ISNUMBER(E3),
      IF(N(H3)/E3&gt;=1,"달성","미달성"),
      IF(E3=H3,"달성","미달성")
   )
)</f>
        <v>미달성</v>
      </c>
      <c r="L3" s="23" t="str">
        <f t="shared" ref="L3" si="1">IF(F3="","",
   IF(ISNUMBER(F3),
      IF(N(I3)/F3&gt;=1,"달성","미달성"),
      IF(F3=I3,"달성","미달성")
   )
)</f>
        <v>미달성</v>
      </c>
      <c r="M3" s="23" t="str">
        <f t="shared" ref="M3" si="2">IF(G3="","",
   IF(ISNUMBER(G3),
      IF(N(J3)/G3&gt;=1,"달성","미달성"),
      IF(G3=J3,"달성","미달성")
   )
)</f>
        <v>미달성</v>
      </c>
    </row>
    <row r="4" spans="1:13" ht="21.6" x14ac:dyDescent="0.4">
      <c r="A4" s="21" t="s">
        <v>99</v>
      </c>
      <c r="B4" s="21" t="s">
        <v>97</v>
      </c>
      <c r="C4" s="21" t="s">
        <v>98</v>
      </c>
      <c r="D4" s="21">
        <v>16</v>
      </c>
      <c r="E4" s="21">
        <v>75</v>
      </c>
      <c r="F4" s="21">
        <v>77</v>
      </c>
      <c r="G4" s="21">
        <v>80</v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3" t="str">
        <f t="shared" ref="K4:K30" si="3">IF(E4="","",
   IF(ISNUMBER(E4),
      IF(N(H4)/E4&gt;=1,"달성","미달성"),
      IF(E4=H4,"달성","미달성")
   )
)</f>
        <v>미달성</v>
      </c>
      <c r="L4" s="23" t="str">
        <f t="shared" ref="L4:L30" si="4">IF(F4="","",
   IF(ISNUMBER(F4),
      IF(N(I4)/F4&gt;=1,"달성","미달성"),
      IF(F4=I4,"달성","미달성")
   )
)</f>
        <v>미달성</v>
      </c>
      <c r="M4" s="23" t="str">
        <f t="shared" ref="M4:M30" si="5">IF(G4="","",
   IF(ISNUMBER(G4),
      IF(N(J4)/G4&gt;=1,"달성","미달성"),
      IF(G4=J4,"달성","미달성")
   )
)</f>
        <v>미달성</v>
      </c>
    </row>
    <row r="5" spans="1:13" ht="21.6" x14ac:dyDescent="0.4">
      <c r="A5" s="21" t="s">
        <v>100</v>
      </c>
      <c r="B5" s="21" t="s">
        <v>97</v>
      </c>
      <c r="C5" s="21" t="s">
        <v>98</v>
      </c>
      <c r="D5" s="21">
        <v>16</v>
      </c>
      <c r="E5" s="21">
        <v>75</v>
      </c>
      <c r="F5" s="21">
        <v>77</v>
      </c>
      <c r="G5" s="21">
        <v>80</v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3" t="str">
        <f t="shared" si="3"/>
        <v>미달성</v>
      </c>
      <c r="L5" s="23" t="str">
        <f t="shared" si="4"/>
        <v>미달성</v>
      </c>
      <c r="M5" s="23" t="str">
        <f t="shared" si="5"/>
        <v>미달성</v>
      </c>
    </row>
    <row r="6" spans="1:13" x14ac:dyDescent="0.4">
      <c r="A6" s="21" t="s">
        <v>101</v>
      </c>
      <c r="B6" s="21" t="s">
        <v>102</v>
      </c>
      <c r="C6" s="21" t="s">
        <v>103</v>
      </c>
      <c r="D6" s="21">
        <v>6</v>
      </c>
      <c r="E6" s="21"/>
      <c r="F6" s="21">
        <v>1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3" t="str">
        <f t="shared" si="3"/>
        <v/>
      </c>
      <c r="L6" s="23" t="str">
        <f t="shared" si="4"/>
        <v>달성</v>
      </c>
      <c r="M6" s="23" t="str">
        <f t="shared" si="5"/>
        <v/>
      </c>
    </row>
    <row r="7" spans="1:13" x14ac:dyDescent="0.4">
      <c r="A7" s="21" t="s">
        <v>104</v>
      </c>
      <c r="B7" s="21" t="s">
        <v>102</v>
      </c>
      <c r="C7" s="21" t="s">
        <v>103</v>
      </c>
      <c r="D7" s="21">
        <v>10</v>
      </c>
      <c r="E7" s="21"/>
      <c r="F7" s="21">
        <v>1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3" t="str">
        <f t="shared" si="3"/>
        <v/>
      </c>
      <c r="L7" s="23" t="str">
        <f t="shared" si="4"/>
        <v>달성</v>
      </c>
      <c r="M7" s="23" t="str">
        <f t="shared" si="5"/>
        <v/>
      </c>
    </row>
    <row r="8" spans="1:13" x14ac:dyDescent="0.4">
      <c r="A8" s="21" t="s">
        <v>105</v>
      </c>
      <c r="B8" s="21" t="s">
        <v>102</v>
      </c>
      <c r="C8" s="21" t="s">
        <v>103</v>
      </c>
      <c r="D8" s="21">
        <v>10</v>
      </c>
      <c r="E8" s="21"/>
      <c r="F8" s="21"/>
      <c r="G8" s="21">
        <v>1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22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23" t="str">
        <f t="shared" si="3"/>
        <v/>
      </c>
      <c r="L8" s="23" t="str">
        <f t="shared" si="4"/>
        <v/>
      </c>
      <c r="M8" s="23" t="str">
        <f t="shared" si="5"/>
        <v>달성</v>
      </c>
    </row>
    <row r="9" spans="1:13" x14ac:dyDescent="0.4">
      <c r="A9" s="21" t="s">
        <v>106</v>
      </c>
      <c r="B9" s="21" t="s">
        <v>107</v>
      </c>
      <c r="C9" s="21" t="s">
        <v>103</v>
      </c>
      <c r="D9" s="21">
        <v>10</v>
      </c>
      <c r="E9" s="21"/>
      <c r="F9" s="21"/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3" t="str">
        <f t="shared" si="3"/>
        <v/>
      </c>
      <c r="L9" s="23" t="str">
        <f t="shared" si="4"/>
        <v/>
      </c>
      <c r="M9" s="23" t="str">
        <f t="shared" si="5"/>
        <v>미달성</v>
      </c>
    </row>
    <row r="10" spans="1:13" x14ac:dyDescent="0.4">
      <c r="A10" s="21" t="s">
        <v>108</v>
      </c>
      <c r="B10" s="21"/>
      <c r="C10" s="21" t="s">
        <v>20</v>
      </c>
      <c r="D10" s="21"/>
      <c r="E10" s="21">
        <v>2</v>
      </c>
      <c r="F10" s="21">
        <v>1</v>
      </c>
      <c r="G10" s="21"/>
      <c r="H10" s="22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22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3" t="str">
        <f t="shared" si="3"/>
        <v>달성</v>
      </c>
      <c r="L10" s="23" t="str">
        <f t="shared" si="4"/>
        <v>달성</v>
      </c>
      <c r="M10" s="23" t="str">
        <f t="shared" si="5"/>
        <v/>
      </c>
    </row>
    <row r="11" spans="1:13" x14ac:dyDescent="0.4">
      <c r="A11" s="21" t="s">
        <v>109</v>
      </c>
      <c r="B11" s="21"/>
      <c r="C11" s="21" t="s">
        <v>110</v>
      </c>
      <c r="D11" s="21"/>
      <c r="E11" s="21"/>
      <c r="F11" s="21">
        <v>580</v>
      </c>
      <c r="G11" s="21">
        <v>600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3" t="str">
        <f t="shared" si="3"/>
        <v/>
      </c>
      <c r="L11" s="23" t="str">
        <f t="shared" si="4"/>
        <v>미달성</v>
      </c>
      <c r="M11" s="23" t="str">
        <f t="shared" si="5"/>
        <v>미달성</v>
      </c>
    </row>
    <row r="12" spans="1:13" x14ac:dyDescent="0.4">
      <c r="A12" s="21" t="s">
        <v>111</v>
      </c>
      <c r="B12" s="21"/>
      <c r="C12" s="21" t="s">
        <v>110</v>
      </c>
      <c r="D12" s="21"/>
      <c r="E12" s="21"/>
      <c r="F12" s="21">
        <v>1010</v>
      </c>
      <c r="G12" s="21">
        <v>5000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3" t="str">
        <f t="shared" si="3"/>
        <v/>
      </c>
      <c r="L12" s="23" t="str">
        <f t="shared" si="4"/>
        <v>미달성</v>
      </c>
      <c r="M12" s="23" t="str">
        <f t="shared" si="5"/>
        <v>미달성</v>
      </c>
    </row>
    <row r="13" spans="1:13" x14ac:dyDescent="0.4">
      <c r="A13" s="21" t="s">
        <v>112</v>
      </c>
      <c r="B13" s="21"/>
      <c r="C13" s="21" t="s">
        <v>103</v>
      </c>
      <c r="D13" s="21"/>
      <c r="E13" s="21"/>
      <c r="F13" s="21">
        <v>2</v>
      </c>
      <c r="G13" s="21">
        <v>3</v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3" t="str">
        <f t="shared" si="3"/>
        <v/>
      </c>
      <c r="L13" s="23" t="str">
        <f t="shared" si="4"/>
        <v>미달성</v>
      </c>
      <c r="M13" s="23" t="str">
        <f t="shared" si="5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3" t="str">
        <f t="shared" si="3"/>
        <v/>
      </c>
      <c r="L14" s="23" t="str">
        <f t="shared" si="4"/>
        <v/>
      </c>
      <c r="M14" s="23" t="str">
        <f t="shared" si="5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3" t="str">
        <f t="shared" si="3"/>
        <v/>
      </c>
      <c r="L15" s="23" t="str">
        <f t="shared" si="4"/>
        <v/>
      </c>
      <c r="M15" s="23" t="str">
        <f t="shared" si="5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3" t="str">
        <f t="shared" si="3"/>
        <v/>
      </c>
      <c r="L16" s="23" t="str">
        <f t="shared" si="4"/>
        <v/>
      </c>
      <c r="M16" s="23" t="str">
        <f t="shared" si="5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3" t="str">
        <f t="shared" si="3"/>
        <v/>
      </c>
      <c r="L17" s="23" t="str">
        <f t="shared" si="4"/>
        <v/>
      </c>
      <c r="M17" s="23" t="str">
        <f t="shared" si="5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3" t="str">
        <f t="shared" si="3"/>
        <v/>
      </c>
      <c r="L18" s="23" t="str">
        <f t="shared" si="4"/>
        <v/>
      </c>
      <c r="M18" s="23" t="str">
        <f t="shared" si="5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3" t="str">
        <f t="shared" si="3"/>
        <v/>
      </c>
      <c r="L19" s="23" t="str">
        <f t="shared" si="4"/>
        <v/>
      </c>
      <c r="M19" s="23" t="str">
        <f t="shared" si="5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3" t="str">
        <f t="shared" si="3"/>
        <v/>
      </c>
      <c r="L20" s="23" t="str">
        <f t="shared" si="4"/>
        <v/>
      </c>
      <c r="M20" s="23" t="str">
        <f t="shared" si="5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3" t="str">
        <f t="shared" si="3"/>
        <v/>
      </c>
      <c r="L21" s="23" t="str">
        <f t="shared" si="4"/>
        <v/>
      </c>
      <c r="M21" s="23" t="str">
        <f t="shared" si="5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3" t="str">
        <f t="shared" si="3"/>
        <v/>
      </c>
      <c r="L22" s="23" t="str">
        <f t="shared" si="4"/>
        <v/>
      </c>
      <c r="M22" s="23" t="str">
        <f t="shared" si="5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3" t="str">
        <f t="shared" si="3"/>
        <v/>
      </c>
      <c r="L23" s="23" t="str">
        <f t="shared" si="4"/>
        <v/>
      </c>
      <c r="M23" s="23" t="str">
        <f t="shared" si="5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3" t="str">
        <f t="shared" si="3"/>
        <v/>
      </c>
      <c r="L24" s="23" t="str">
        <f t="shared" si="4"/>
        <v/>
      </c>
      <c r="M24" s="23" t="str">
        <f t="shared" si="5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3" t="str">
        <f t="shared" si="3"/>
        <v/>
      </c>
      <c r="L25" s="23" t="str">
        <f t="shared" si="4"/>
        <v/>
      </c>
      <c r="M25" s="23" t="str">
        <f t="shared" si="5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3" t="str">
        <f t="shared" si="3"/>
        <v/>
      </c>
      <c r="L26" s="23" t="str">
        <f t="shared" si="4"/>
        <v/>
      </c>
      <c r="M26" s="23" t="str">
        <f t="shared" si="5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3" t="str">
        <f t="shared" si="3"/>
        <v/>
      </c>
      <c r="L27" s="23" t="str">
        <f t="shared" si="4"/>
        <v/>
      </c>
      <c r="M27" s="23" t="str">
        <f t="shared" si="5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3" t="str">
        <f t="shared" si="3"/>
        <v/>
      </c>
      <c r="L28" s="23" t="str">
        <f t="shared" si="4"/>
        <v/>
      </c>
      <c r="M28" s="23" t="str">
        <f t="shared" si="5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3" t="str">
        <f t="shared" si="3"/>
        <v/>
      </c>
      <c r="L29" s="23" t="str">
        <f t="shared" si="4"/>
        <v/>
      </c>
      <c r="M29" s="23" t="str">
        <f t="shared" si="5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3" t="str">
        <f t="shared" si="3"/>
        <v/>
      </c>
      <c r="L30" s="23" t="str">
        <f t="shared" si="4"/>
        <v/>
      </c>
      <c r="M30" s="23" t="str">
        <f t="shared" si="5"/>
        <v/>
      </c>
    </row>
    <row r="31" spans="1:13" x14ac:dyDescent="0.4">
      <c r="A31" s="21" t="s">
        <v>14</v>
      </c>
      <c r="B31" s="21"/>
      <c r="C31" s="21"/>
      <c r="D31" s="21">
        <f>SUM(D3:D30)</f>
        <v>100</v>
      </c>
      <c r="E31" s="21"/>
      <c r="F31" s="21"/>
      <c r="G31" s="21"/>
      <c r="H31" s="22"/>
      <c r="I31" s="22"/>
      <c r="J31" s="22"/>
      <c r="K31" s="23" t="str">
        <f>IF(E31="","",
   IF(ISNUMBER(E31),
      IF(N(H31)/E31&gt;=1,"달성","미달성"),
      IF(E31=H31,"달성","미달성")
   )
)</f>
        <v/>
      </c>
      <c r="L31" s="23"/>
      <c r="M31" s="23" t="str">
        <f t="shared" ref="M31" si="6">IF(G31="","",
   IF(ISNUMBER(G31),
      IF(N(J31)/G31&gt;=1,"달성","미달성"),
      IF(G31=J31,"달성","미달성")
   )
)</f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conditionalFormatting sqref="K3:M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tabSelected="1" workbookViewId="0">
      <selection activeCell="A7" sqref="A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22</v>
      </c>
      <c r="B1" s="16" t="s">
        <v>15</v>
      </c>
      <c r="C1" s="16" t="s">
        <v>16</v>
      </c>
      <c r="D1" s="16" t="s">
        <v>12</v>
      </c>
    </row>
    <row r="2" spans="1:4" ht="21.6" x14ac:dyDescent="0.4">
      <c r="A2" s="18" t="s">
        <v>101</v>
      </c>
      <c r="B2" s="18" t="s">
        <v>69</v>
      </c>
      <c r="C2" s="18">
        <v>1</v>
      </c>
      <c r="D2" s="18" t="s">
        <v>21</v>
      </c>
    </row>
    <row r="3" spans="1:4" ht="21.6" x14ac:dyDescent="0.4">
      <c r="A3" s="18" t="s">
        <v>104</v>
      </c>
      <c r="B3" s="18" t="s">
        <v>69</v>
      </c>
      <c r="C3" s="18">
        <v>1</v>
      </c>
      <c r="D3" s="18" t="s">
        <v>21</v>
      </c>
    </row>
    <row r="4" spans="1:4" ht="21.6" x14ac:dyDescent="0.4">
      <c r="A4" s="18" t="s">
        <v>105</v>
      </c>
      <c r="B4" s="18" t="s">
        <v>70</v>
      </c>
      <c r="C4" s="18">
        <v>1</v>
      </c>
      <c r="D4" s="18" t="s">
        <v>21</v>
      </c>
    </row>
    <row r="5" spans="1:4" ht="21.6" x14ac:dyDescent="0.4">
      <c r="A5" s="18" t="s">
        <v>108</v>
      </c>
      <c r="B5" s="18" t="s">
        <v>68</v>
      </c>
      <c r="C5" s="18">
        <v>2</v>
      </c>
      <c r="D5" s="18" t="s">
        <v>21</v>
      </c>
    </row>
    <row r="6" spans="1:4" ht="21.6" x14ac:dyDescent="0.4">
      <c r="A6" s="18" t="s">
        <v>108</v>
      </c>
      <c r="B6" s="18" t="s">
        <v>69</v>
      </c>
      <c r="C6" s="18">
        <v>1</v>
      </c>
      <c r="D6" s="18" t="s">
        <v>21</v>
      </c>
    </row>
    <row r="7" spans="1:4" ht="21.6" x14ac:dyDescent="0.4">
      <c r="A7" s="18" t="s">
        <v>109</v>
      </c>
      <c r="B7" s="18" t="s">
        <v>69</v>
      </c>
      <c r="C7" s="18">
        <v>370</v>
      </c>
      <c r="D7" s="18" t="s">
        <v>21</v>
      </c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745AB-CA09-4558-B769-BE258C5390AD}">
  <dimension ref="A1:C3"/>
  <sheetViews>
    <sheetView workbookViewId="0">
      <selection activeCell="H7" sqref="H7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114</v>
      </c>
      <c r="B1" t="s">
        <v>115</v>
      </c>
      <c r="C1" t="s">
        <v>116</v>
      </c>
    </row>
    <row r="2" spans="1:3" x14ac:dyDescent="0.4">
      <c r="A2" s="24">
        <v>46205</v>
      </c>
      <c r="B2" t="s">
        <v>117</v>
      </c>
      <c r="C2" t="s">
        <v>118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2026-07-27T02:24:58Z</dcterms:modified>
  <cp:category/>
  <cp:contentStatus/>
</cp:coreProperties>
</file>