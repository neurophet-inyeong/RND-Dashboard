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12BF96E8-D44A-437C-9ADA-B95DE1C45411}" xr6:coauthVersionLast="47" xr6:coauthVersionMax="47" xr10:uidLastSave="{00000000-0000-0000-0000-000000000000}"/>
  <bookViews>
    <workbookView xWindow="28680" yWindow="-120" windowWidth="29040" windowHeight="15720" activeTab="4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  <sheet name="진행상황" sheetId="7" r:id="rId5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5" l="1"/>
  <c r="L4" i="5"/>
  <c r="M4" i="5"/>
  <c r="K5" i="5"/>
  <c r="L5" i="5"/>
  <c r="M5" i="5"/>
  <c r="K6" i="5"/>
  <c r="L6" i="5"/>
  <c r="M6" i="5"/>
  <c r="K7" i="5"/>
  <c r="L7" i="5"/>
  <c r="M7" i="5"/>
  <c r="K8" i="5"/>
  <c r="L8" i="5"/>
  <c r="M8" i="5"/>
  <c r="K9" i="5"/>
  <c r="L9" i="5"/>
  <c r="M9" i="5"/>
  <c r="K10" i="5"/>
  <c r="L10" i="5"/>
  <c r="M10" i="5"/>
  <c r="K11" i="5"/>
  <c r="L11" i="5"/>
  <c r="M11" i="5"/>
  <c r="K12" i="5"/>
  <c r="L12" i="5"/>
  <c r="M12" i="5"/>
  <c r="K13" i="5"/>
  <c r="L13" i="5"/>
  <c r="M13" i="5"/>
  <c r="K14" i="5"/>
  <c r="L14" i="5"/>
  <c r="M14" i="5"/>
  <c r="K15" i="5"/>
  <c r="L15" i="5"/>
  <c r="M15" i="5"/>
  <c r="K16" i="5"/>
  <c r="L16" i="5"/>
  <c r="M16" i="5"/>
  <c r="K17" i="5"/>
  <c r="L17" i="5"/>
  <c r="M17" i="5"/>
  <c r="K18" i="5"/>
  <c r="L18" i="5"/>
  <c r="M18" i="5"/>
  <c r="K19" i="5"/>
  <c r="L19" i="5"/>
  <c r="M19" i="5"/>
  <c r="K20" i="5"/>
  <c r="L20" i="5"/>
  <c r="M20" i="5"/>
  <c r="K21" i="5"/>
  <c r="L21" i="5"/>
  <c r="M21" i="5"/>
  <c r="K22" i="5"/>
  <c r="L22" i="5"/>
  <c r="M22" i="5"/>
  <c r="K23" i="5"/>
  <c r="L23" i="5"/>
  <c r="M23" i="5"/>
  <c r="K24" i="5"/>
  <c r="L24" i="5"/>
  <c r="M24" i="5"/>
  <c r="K25" i="5"/>
  <c r="L25" i="5"/>
  <c r="M25" i="5"/>
  <c r="K26" i="5"/>
  <c r="L26" i="5"/>
  <c r="M26" i="5"/>
  <c r="K27" i="5"/>
  <c r="L27" i="5"/>
  <c r="M27" i="5"/>
  <c r="K28" i="5"/>
  <c r="L28" i="5"/>
  <c r="M28" i="5"/>
  <c r="K29" i="5"/>
  <c r="L29" i="5"/>
  <c r="M29" i="5"/>
  <c r="K30" i="5"/>
  <c r="L30" i="5"/>
  <c r="M30" i="5"/>
  <c r="L3" i="5"/>
  <c r="M3" i="5"/>
  <c r="H27" i="5" a="1"/>
  <c r="H27" i="5" s="1"/>
  <c r="I27" i="5" a="1"/>
  <c r="I27" i="5" s="1"/>
  <c r="J27" i="5" a="1"/>
  <c r="J27" i="5" s="1"/>
  <c r="H28" i="5" a="1"/>
  <c r="H28" i="5" s="1"/>
  <c r="I28" i="5" a="1"/>
  <c r="I28" i="5" s="1"/>
  <c r="J28" i="5" a="1"/>
  <c r="J28" i="5" s="1"/>
  <c r="H29" i="5" a="1"/>
  <c r="H29" i="5" s="1"/>
  <c r="I29" i="5" a="1"/>
  <c r="I29" i="5" s="1"/>
  <c r="J29" i="5" a="1"/>
  <c r="J29" i="5" s="1"/>
  <c r="H30" i="5" a="1"/>
  <c r="H30" i="5" s="1"/>
  <c r="I30" i="5" a="1"/>
  <c r="I30" i="5" s="1"/>
  <c r="J30" i="5" a="1"/>
  <c r="J30" i="5" s="1"/>
  <c r="H4" i="5" a="1"/>
  <c r="H4" i="5" s="1"/>
  <c r="I4" i="5" a="1"/>
  <c r="I4" i="5" s="1"/>
  <c r="J4" i="5" a="1"/>
  <c r="J4" i="5" s="1"/>
  <c r="H5" i="5" a="1"/>
  <c r="H5" i="5" s="1"/>
  <c r="I5" i="5" a="1"/>
  <c r="I5" i="5" s="1"/>
  <c r="J5" i="5" a="1"/>
  <c r="J5" i="5" s="1"/>
  <c r="H6" i="5" a="1"/>
  <c r="H6" i="5" s="1"/>
  <c r="I6" i="5" a="1"/>
  <c r="I6" i="5" s="1"/>
  <c r="J6" i="5" a="1"/>
  <c r="J6" i="5" s="1"/>
  <c r="H7" i="5" a="1"/>
  <c r="H7" i="5" s="1"/>
  <c r="I7" i="5" a="1"/>
  <c r="I7" i="5" s="1"/>
  <c r="J7" i="5" a="1"/>
  <c r="J7" i="5" s="1"/>
  <c r="H8" i="5" a="1"/>
  <c r="H8" i="5" s="1"/>
  <c r="I8" i="5" a="1"/>
  <c r="I8" i="5" s="1"/>
  <c r="J8" i="5" a="1"/>
  <c r="J8" i="5" s="1"/>
  <c r="H9" i="5" a="1"/>
  <c r="H9" i="5" s="1"/>
  <c r="I9" i="5" a="1"/>
  <c r="I9" i="5" s="1"/>
  <c r="J9" i="5" a="1"/>
  <c r="J9" i="5" s="1"/>
  <c r="H10" i="5" a="1"/>
  <c r="H10" i="5" s="1"/>
  <c r="I10" i="5" a="1"/>
  <c r="I10" i="5" s="1"/>
  <c r="J10" i="5" a="1"/>
  <c r="J10" i="5" s="1"/>
  <c r="H11" i="5" a="1"/>
  <c r="H11" i="5" s="1"/>
  <c r="I11" i="5" a="1"/>
  <c r="I11" i="5" s="1"/>
  <c r="J11" i="5" a="1"/>
  <c r="J11" i="5" s="1"/>
  <c r="H12" i="5" a="1"/>
  <c r="H12" i="5" s="1"/>
  <c r="I12" i="5" a="1"/>
  <c r="I12" i="5" s="1"/>
  <c r="J12" i="5" a="1"/>
  <c r="J12" i="5" s="1"/>
  <c r="H13" i="5" a="1"/>
  <c r="H13" i="5" s="1"/>
  <c r="I13" i="5" a="1"/>
  <c r="I13" i="5" s="1"/>
  <c r="J13" i="5" a="1"/>
  <c r="J13" i="5" s="1"/>
  <c r="H14" i="5" a="1"/>
  <c r="H14" i="5" s="1"/>
  <c r="I14" i="5" a="1"/>
  <c r="I14" i="5" s="1"/>
  <c r="J14" i="5" a="1"/>
  <c r="J14" i="5" s="1"/>
  <c r="H15" i="5" a="1"/>
  <c r="H15" i="5" s="1"/>
  <c r="I15" i="5" a="1"/>
  <c r="I15" i="5" s="1"/>
  <c r="J15" i="5" a="1"/>
  <c r="J15" i="5" s="1"/>
  <c r="H16" i="5" a="1"/>
  <c r="H16" i="5" s="1"/>
  <c r="I16" i="5" a="1"/>
  <c r="I16" i="5" s="1"/>
  <c r="J16" i="5" a="1"/>
  <c r="J16" i="5" s="1"/>
  <c r="H17" i="5" a="1"/>
  <c r="H17" i="5" s="1"/>
  <c r="I17" i="5" a="1"/>
  <c r="I17" i="5" s="1"/>
  <c r="J17" i="5" a="1"/>
  <c r="J17" i="5" s="1"/>
  <c r="H18" i="5" a="1"/>
  <c r="H18" i="5" s="1"/>
  <c r="I18" i="5" a="1"/>
  <c r="I18" i="5" s="1"/>
  <c r="J18" i="5" a="1"/>
  <c r="J18" i="5" s="1"/>
  <c r="H19" i="5" a="1"/>
  <c r="H19" i="5" s="1"/>
  <c r="I19" i="5" a="1"/>
  <c r="I19" i="5" s="1"/>
  <c r="J19" i="5" a="1"/>
  <c r="J19" i="5" s="1"/>
  <c r="H20" i="5" a="1"/>
  <c r="H20" i="5" s="1"/>
  <c r="I20" i="5" a="1"/>
  <c r="I20" i="5" s="1"/>
  <c r="J20" i="5" a="1"/>
  <c r="J20" i="5"/>
  <c r="H21" i="5" a="1"/>
  <c r="H21" i="5" s="1"/>
  <c r="I21" i="5" a="1"/>
  <c r="I21" i="5" s="1"/>
  <c r="J21" i="5" a="1"/>
  <c r="J21" i="5" s="1"/>
  <c r="H22" i="5" a="1"/>
  <c r="H22" i="5"/>
  <c r="I22" i="5" a="1"/>
  <c r="I22" i="5" s="1"/>
  <c r="J22" i="5" a="1"/>
  <c r="J22" i="5" s="1"/>
  <c r="H23" i="5" a="1"/>
  <c r="H23" i="5" s="1"/>
  <c r="I23" i="5" a="1"/>
  <c r="I23" i="5" s="1"/>
  <c r="J23" i="5" a="1"/>
  <c r="J23" i="5" s="1"/>
  <c r="H24" i="5" a="1"/>
  <c r="H24" i="5" s="1"/>
  <c r="I24" i="5" a="1"/>
  <c r="I24" i="5" s="1"/>
  <c r="J24" i="5" a="1"/>
  <c r="J24" i="5" s="1"/>
  <c r="H25" i="5" a="1"/>
  <c r="H25" i="5" s="1"/>
  <c r="I25" i="5" a="1"/>
  <c r="I25" i="5" s="1"/>
  <c r="J25" i="5" a="1"/>
  <c r="J25" i="5" s="1"/>
  <c r="H26" i="5" a="1"/>
  <c r="H26" i="5" s="1"/>
  <c r="I26" i="5" a="1"/>
  <c r="I26" i="5" s="1"/>
  <c r="J26" i="5" a="1"/>
  <c r="J26" i="5" s="1"/>
  <c r="I3" i="5" a="1"/>
  <c r="I3" i="5" s="1"/>
  <c r="J3" i="5" a="1"/>
  <c r="J3" i="5" s="1"/>
  <c r="H3" i="5" a="1"/>
  <c r="H3" i="5" s="1"/>
  <c r="G2" i="1" l="1" a="1"/>
  <c r="G2" i="1" s="1"/>
  <c r="A20" i="4" l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M31" i="5" l="1"/>
  <c r="K31" i="5"/>
  <c r="D31" i="5"/>
  <c r="K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<sst xmlns="http://schemas.openxmlformats.org/spreadsheetml/2006/main" count="119" uniqueCount="119">
  <si>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</si>
  <si>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</si>
  <si>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</si>
  <si>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</si>
  <si>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</si>
  <si>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</si>
  <si>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</si>
  <si>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</si>
  <si>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</si>
  <si>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</si>
  <si>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</si>
  <si>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</si>
  <si>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</si>
  <si>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연차별 연구개발 달성률</t>
    <phoneticPr fontId="6" type="noConversion"/>
  </si>
  <si>
    <t>합계</t>
  </si>
  <si>
    <t>단계-연차</t>
    <phoneticPr fontId="6" type="noConversion"/>
  </si>
  <si>
    <t>달성</t>
    <phoneticPr fontId="6" type="noConversion"/>
  </si>
  <si>
    <t>목표</t>
    <phoneticPr fontId="2" type="noConversion"/>
  </si>
  <si>
    <t>R&amp;D</t>
  </si>
  <si>
    <t>주관(김동현)</t>
  </si>
  <si>
    <t>명</t>
  </si>
  <si>
    <t>뉴로핏 주식회사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</si>
  <si>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</si>
  <si>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</si>
  <si>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</si>
  <si>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</si>
  <si>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</si>
  <si>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</si>
  <si>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</si>
  <si>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</si>
  <si>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</si>
  <si>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</si>
  <si>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</si>
  <si>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</si>
  <si>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</si>
  <si>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</si>
  <si>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</si>
  <si>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</si>
  <si>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</si>
  <si>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</si>
  <si>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</si>
  <si>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</si>
  <si>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</si>
  <si>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</si>
  <si>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</si>
  <si>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</si>
  <si>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</si>
  <si>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</si>
  <si>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</si>
  <si>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</si>
  <si>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</si>
  <si>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</si>
  <si>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</si>
  <si>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</si>
  <si>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</si>
  <si>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</si>
  <si>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</si>
  <si>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</si>
  <si>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</si>
  <si>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</si>
  <si>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</si>
  <si>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</si>
  <si>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</si>
  <si>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</si>
  <si>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</si>
  <si>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</si>
  <si>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</si>
  <si>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</si>
  <si>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0단계 1연차</t>
  </si>
  <si>
    <t>0단계 2연차</t>
  </si>
  <si>
    <t>0단계 3연차</t>
  </si>
  <si>
    <t/>
  </si>
  <si>
    <t>중소벤처기업부</t>
  </si>
  <si>
    <t>한국산업기술진흥원</t>
  </si>
  <si>
    <t>(강원)글로벌혁신특구혁신사업육성(R&amp;D)</t>
  </si>
  <si>
    <t>해외 진출을 위한 ARIA 분석 기술의 개발 및 실증</t>
  </si>
  <si>
    <t>RS-2024-00507182</t>
  </si>
  <si>
    <t>2024-07-01 - 2026-06-30</t>
  </si>
  <si>
    <t>IRIS, RCMS</t>
  </si>
  <si>
    <t>국문 - 본 연구는 중소벤처기업부와 한국산업기술진흥원이 지원하는 글로벌혁신특구혁신사업육성(R&amp;D)(RS-2024-00507182)으로 수행된 연구결과입니다.
영문 - This research was supported by the Ministry of SMEs and Startups(MSS), Korea Institute for Advancement of Technology(KIAT) through the Innovation Development(R&amp;D)(RS-2024-00507182) for Global Regulation-Free Special Zone</t>
  </si>
  <si>
    <t>정부지원금(국비+지방비)</t>
  </si>
  <si>
    <t>해외 협력 기관 섭외 및 계약서 작성</t>
  </si>
  <si>
    <t>검증 연구를 진행하기 위한 IRB 작성</t>
  </si>
  <si>
    <t>AI 모델 학습을 위한 국내외 개발 자료 수집 및 정제</t>
  </si>
  <si>
    <t>정확한 Ground truth 설정</t>
  </si>
  <si>
    <t>국내인증 신청</t>
  </si>
  <si>
    <t>해외인증 (일본) 신청</t>
  </si>
  <si>
    <t>뇌부종 영역 분할 기술 고도화</t>
  </si>
  <si>
    <t>표재철 침착증 영역 분할 기술 고도화</t>
  </si>
  <si>
    <t>국내 인증 완료</t>
  </si>
  <si>
    <t>일본 인증 완료</t>
  </si>
  <si>
    <t>FDA 인증 절차 개시</t>
  </si>
  <si>
    <t>소프트웨어 최적화 및 상용화</t>
  </si>
  <si>
    <t>임상 환경에 적용 시 활용성 검증</t>
  </si>
  <si>
    <t>FDA 인증 절차 완료</t>
  </si>
  <si>
    <t xml:space="preserve">유럽 인증 절차 개시 </t>
  </si>
  <si>
    <t>ARIA-E 뇌부종 영역 분할 정확도 (DSC)</t>
  </si>
  <si>
    <t>공인시험성적서</t>
  </si>
  <si>
    <t>%</t>
  </si>
  <si>
    <t>ARIA-H 표재철 침착증 검출 기술 민감도 (Sensitivity)</t>
  </si>
  <si>
    <t>ARIA-H 표재철 침착증 검출 기술 특이도 (Specificity)</t>
  </si>
  <si>
    <t>실증 자료 활용 국내 인증 신청/인증</t>
  </si>
  <si>
    <t>인증서</t>
  </si>
  <si>
    <t>건</t>
  </si>
  <si>
    <t>실증 자료 활용 일본 인증 신청/인증</t>
  </si>
  <si>
    <t>실증 자료 활용 미국 인증 신청/인증</t>
  </si>
  <si>
    <t>실증 자료 활용 유럽 인증 신청</t>
  </si>
  <si>
    <t>신청서</t>
  </si>
  <si>
    <t>신규고용</t>
  </si>
  <si>
    <t>국내매출</t>
  </si>
  <si>
    <t>백만원</t>
  </si>
  <si>
    <t>수출</t>
  </si>
  <si>
    <t>특허</t>
  </si>
  <si>
    <t>종료</t>
  </si>
  <si>
    <t>날짜</t>
    <phoneticPr fontId="2" type="noConversion"/>
  </si>
  <si>
    <t>상태</t>
    <phoneticPr fontId="2" type="noConversion"/>
  </si>
  <si>
    <t>내용</t>
    <phoneticPr fontId="2" type="noConversion"/>
  </si>
  <si>
    <t>Progress</t>
    <phoneticPr fontId="2" type="noConversion"/>
  </si>
  <si>
    <t>최종보고서 작성중 ~8/31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</si>
</sst>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B6" sqref="B6"/>
    </sheetView>
  </sheetViews>
  <sheetFormatPr defaultColWidth="17.59765625" defaultRowHeight="15" customHeight="1" x14ac:dyDescent="0.4"/>
  <cols>
    <col min="1" max="1" width="17.3984375" style="1" bestFit="1" customWidth="1"/>
    <col min="2" max="2" width="80.796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3.0976562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3" width="13.0976562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23</v>
      </c>
      <c r="B1" s="1" t="s">
        <v>24</v>
      </c>
      <c r="F1" s="1"/>
      <c r="G1" s="4" t="s">
        <v>39</v>
      </c>
    </row>
    <row r="2" spans="1:10" ht="17.399999999999999" x14ac:dyDescent="0.4">
      <c r="A2" t="s">
        <v>25</v>
      </c>
      <c r="B2" t="s">
        <v>18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RS-2024-00507182</v>
      </c>
    </row>
    <row r="3" spans="1:10" ht="17.399999999999999" x14ac:dyDescent="0.4">
      <c r="A3" t="s">
        <v>26</v>
      </c>
      <c r="B3" t="s">
        <v>72</v>
      </c>
      <c r="E3" s="1"/>
      <c r="F3" s="1"/>
      <c r="G3" s="1"/>
    </row>
    <row r="4" spans="1:10" ht="17.399999999999999" x14ac:dyDescent="0.4">
      <c r="A4" t="s">
        <v>27</v>
      </c>
      <c r="B4" t="s">
        <v>73</v>
      </c>
      <c r="E4" s="1"/>
      <c r="F4" s="1"/>
      <c r="G4" s="1"/>
    </row>
    <row r="5" spans="1:10" ht="17.399999999999999" x14ac:dyDescent="0.4">
      <c r="A5" t="s">
        <v>28</v>
      </c>
      <c r="B5" t="s">
        <v>74</v>
      </c>
      <c r="E5" s="1"/>
      <c r="F5" s="1"/>
      <c r="G5" s="1"/>
    </row>
    <row r="6" spans="1:10" ht="17.399999999999999" x14ac:dyDescent="0.4">
      <c r="A6" t="s">
        <v>29</v>
      </c>
      <c r="B6" t="s">
        <v>75</v>
      </c>
      <c r="E6" s="1"/>
      <c r="F6" s="1"/>
      <c r="G6" s="1"/>
    </row>
    <row r="7" spans="1:10" ht="17.399999999999999" x14ac:dyDescent="0.4">
      <c r="A7" t="s">
        <v>30</v>
      </c>
      <c r="B7" t="s">
        <v>76</v>
      </c>
      <c r="E7" s="1"/>
      <c r="F7" s="1"/>
      <c r="G7" s="1"/>
    </row>
    <row r="8" spans="1:10" ht="17.399999999999999" x14ac:dyDescent="0.4">
      <c r="A8" t="s">
        <v>31</v>
      </c>
      <c r="B8" t="s">
        <v>19</v>
      </c>
      <c r="E8" s="1"/>
      <c r="F8" s="1"/>
      <c r="G8" s="1"/>
    </row>
    <row r="9" spans="1:10" ht="17.399999999999999" x14ac:dyDescent="0.4">
      <c r="A9" t="s">
        <v>32</v>
      </c>
      <c r="B9" t="s">
        <v>77</v>
      </c>
      <c r="C9" s="5"/>
      <c r="E9" s="1"/>
      <c r="F9" s="1"/>
      <c r="G9" s="1"/>
    </row>
    <row r="10" spans="1:10" ht="17.399999999999999" x14ac:dyDescent="0.4">
      <c r="A10" t="s">
        <v>33</v>
      </c>
      <c r="B10" t="s">
        <v>113</v>
      </c>
      <c r="C10" s="6"/>
      <c r="D10" s="5"/>
      <c r="E10" s="5"/>
      <c r="F10" s="1"/>
      <c r="G10" s="1"/>
    </row>
    <row r="11" spans="1:10" ht="17.399999999999999" x14ac:dyDescent="0.4">
      <c r="A11" t="s">
        <v>34</v>
      </c>
      <c r="B11" t="s">
        <v>113</v>
      </c>
      <c r="C11" s="5"/>
      <c r="D11" s="5"/>
      <c r="E11" s="5"/>
      <c r="F11" s="1"/>
      <c r="G11" s="1"/>
    </row>
    <row r="12" spans="1:10" ht="17.399999999999999" x14ac:dyDescent="0.4">
      <c r="A12" t="s">
        <v>35</v>
      </c>
      <c r="B12" t="s">
        <v>78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36</v>
      </c>
      <c r="B13" t="s">
        <v>79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37</v>
      </c>
      <c r="B14" s="24">
        <v>45511</v>
      </c>
      <c r="E14" s="1"/>
      <c r="F14" s="5"/>
      <c r="G14" s="1"/>
    </row>
    <row r="15" spans="1:10" ht="17.399999999999999" x14ac:dyDescent="0.4">
      <c r="A15" t="s">
        <v>38</v>
      </c>
      <c r="B15" t="s">
        <v>80</v>
      </c>
      <c r="C15" s="5"/>
      <c r="E15" s="1"/>
      <c r="F15" s="1"/>
      <c r="G15" s="1"/>
    </row>
    <row r="17" spans="1:15" ht="10.8" x14ac:dyDescent="0.4">
      <c r="A17" s="1" t="s">
        <v>23</v>
      </c>
      <c r="B17" s="1" t="s">
        <v>24</v>
      </c>
      <c r="C17" s="1" t="s">
        <v>40</v>
      </c>
      <c r="D17" s="1" t="s">
        <v>41</v>
      </c>
      <c r="E17" s="25" t="s">
        <v>42</v>
      </c>
      <c r="F17" s="5" t="s">
        <v>43</v>
      </c>
      <c r="G17" s="26" t="s">
        <v>44</v>
      </c>
      <c r="H17" s="1" t="s">
        <v>45</v>
      </c>
      <c r="I17" s="1" t="s">
        <v>46</v>
      </c>
      <c r="J17" s="1" t="s">
        <v>47</v>
      </c>
      <c r="K17" s="1" t="s">
        <v>48</v>
      </c>
      <c r="L17" s="1" t="s">
        <v>49</v>
      </c>
      <c r="M17" s="1" t="s">
        <v>50</v>
      </c>
      <c r="N17" s="1" t="s">
        <v>51</v>
      </c>
      <c r="O17" s="1" t="s">
        <v>52</v>
      </c>
    </row>
    <row r="18" spans="1:15" ht="17.399999999999999" x14ac:dyDescent="0.4">
      <c r="A18" t="s">
        <v>53</v>
      </c>
      <c r="B18" t="s">
        <v>54</v>
      </c>
      <c r="C18" t="s">
        <v>55</v>
      </c>
      <c r="D18" t="s">
        <v>56</v>
      </c>
      <c r="E18" t="s">
        <v>57</v>
      </c>
      <c r="F18" t="s">
        <v>58</v>
      </c>
      <c r="G18" t="s">
        <v>59</v>
      </c>
      <c r="H18" t="s">
        <v>60</v>
      </c>
      <c r="I18" t="s">
        <v>61</v>
      </c>
      <c r="J18" t="s">
        <v>62</v>
      </c>
      <c r="K18" t="s">
        <v>63</v>
      </c>
      <c r="L18" t="s">
        <v>64</v>
      </c>
      <c r="M18" t="s">
        <v>65</v>
      </c>
      <c r="N18" t="s">
        <v>66</v>
      </c>
      <c r="O18" t="s">
        <v>2</v>
      </c>
    </row>
    <row r="19" spans="1:15" ht="17.399999999999999" x14ac:dyDescent="0.4">
      <c r="A19" t="s">
        <v>68</v>
      </c>
      <c r="B19" s="24">
        <v>45474</v>
      </c>
      <c r="C19" s="24">
        <v>45657</v>
      </c>
      <c r="D19">
        <v>6</v>
      </c>
      <c r="E19" s="27">
        <v>0</v>
      </c>
      <c r="F19" s="27">
        <v>50000000</v>
      </c>
      <c r="G19" s="27">
        <v>23000000</v>
      </c>
      <c r="H19" s="27">
        <v>9734000</v>
      </c>
      <c r="I19" s="27">
        <v>14599000</v>
      </c>
      <c r="J19" s="27">
        <v>24333000</v>
      </c>
      <c r="K19" s="27">
        <v>82734000</v>
      </c>
      <c r="L19" s="27">
        <v>14599000</v>
      </c>
      <c r="M19" s="27">
        <v>97333000</v>
      </c>
      <c r="N19" s="27"/>
      <c r="O19" s="27"/>
    </row>
    <row r="20" spans="1:15" ht="17.399999999999999" x14ac:dyDescent="0.4">
      <c r="A20" t="s">
        <v>69</v>
      </c>
      <c r="B20" s="24">
        <v>45658</v>
      </c>
      <c r="C20" s="24">
        <v>46022</v>
      </c>
      <c r="D20">
        <v>12</v>
      </c>
      <c r="E20" s="27">
        <v>24238000</v>
      </c>
      <c r="F20" s="27">
        <v>100000000</v>
      </c>
      <c r="G20" s="27">
        <v>54000000</v>
      </c>
      <c r="H20" s="27">
        <v>20534000</v>
      </c>
      <c r="I20" s="27">
        <v>30800000</v>
      </c>
      <c r="J20" s="27">
        <v>51334000</v>
      </c>
      <c r="K20" s="27">
        <v>174534000</v>
      </c>
      <c r="L20" s="27">
        <v>30800000</v>
      </c>
      <c r="M20" s="27">
        <v>205334000</v>
      </c>
      <c r="N20" s="27"/>
      <c r="O20" s="27"/>
    </row>
    <row r="21" spans="1:15" ht="17.399999999999999" x14ac:dyDescent="0.4">
      <c r="A21" t="s">
        <v>70</v>
      </c>
      <c r="B21" s="24">
        <v>46023</v>
      </c>
      <c r="C21" s="24">
        <v>46203</v>
      </c>
      <c r="D21">
        <v>6</v>
      </c>
      <c r="E21" s="27">
        <v>48516666</v>
      </c>
      <c r="F21" s="27">
        <v>50000000</v>
      </c>
      <c r="G21" s="27">
        <v>23000000</v>
      </c>
      <c r="H21" s="27">
        <v>9734000</v>
      </c>
      <c r="I21" s="27">
        <v>14599000</v>
      </c>
      <c r="J21" s="27">
        <v>24333000</v>
      </c>
      <c r="K21" s="27">
        <v>82734000</v>
      </c>
      <c r="L21" s="27">
        <v>14599000</v>
      </c>
      <c r="M21" s="27">
        <v>97333000</v>
      </c>
      <c r="N21" s="27"/>
      <c r="O21" s="27"/>
    </row>
    <row r="22" spans="1:15" ht="17.399999999999999" x14ac:dyDescent="0.4">
      <c r="A22"/>
      <c r="B22" s="24"/>
      <c r="C22" s="24"/>
      <c r="D22" t="s">
        <v>71</v>
      </c>
      <c r="E22" s="27">
        <v>0</v>
      </c>
      <c r="F22" s="27"/>
      <c r="G22" s="27"/>
      <c r="H22" s="27"/>
      <c r="I22" s="27"/>
      <c r="J22" s="27">
        <v>0</v>
      </c>
      <c r="K22" s="27">
        <v>0</v>
      </c>
      <c r="L22" s="27">
        <v>0</v>
      </c>
      <c r="M22" s="27">
        <v>0</v>
      </c>
      <c r="N22" s="27"/>
      <c r="O22" s="27"/>
    </row>
    <row r="23" spans="1:15" ht="17.399999999999999" x14ac:dyDescent="0.4">
      <c r="A23"/>
      <c r="B23" s="24"/>
      <c r="C23" s="24"/>
      <c r="D23" t="s">
        <v>71</v>
      </c>
      <c r="E23" s="27">
        <v>0</v>
      </c>
      <c r="F23" s="27"/>
      <c r="G23" s="27"/>
      <c r="H23" s="27"/>
      <c r="I23" s="27"/>
      <c r="J23" s="27">
        <v>0</v>
      </c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67</v>
      </c>
      <c r="B24"/>
      <c r="C24"/>
      <c r="D24">
        <v>24</v>
      </c>
      <c r="E24" s="27">
        <v>0</v>
      </c>
      <c r="F24" s="27">
        <v>200000000</v>
      </c>
      <c r="G24" s="27">
        <v>100000000</v>
      </c>
      <c r="H24" s="27">
        <v>40002000</v>
      </c>
      <c r="I24" s="27">
        <v>59998000</v>
      </c>
      <c r="J24" s="27">
        <v>100000000</v>
      </c>
      <c r="K24" s="27">
        <v>340002000</v>
      </c>
      <c r="L24" s="27">
        <v>59998000</v>
      </c>
      <c r="M24" s="27">
        <v>400000000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G5" sqref="G5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8" t="s">
        <v>4</v>
      </c>
      <c r="G1" s="28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81</v>
      </c>
      <c r="C3" s="9" t="s">
        <v>68</v>
      </c>
      <c r="D3" s="9">
        <v>45474</v>
      </c>
      <c r="E3" s="9">
        <v>45596</v>
      </c>
      <c r="F3" s="9">
        <v>45474</v>
      </c>
      <c r="G3" s="9">
        <v>45596</v>
      </c>
    </row>
    <row r="4" spans="1:7" x14ac:dyDescent="0.4">
      <c r="A4" s="15">
        <v>2</v>
      </c>
      <c r="B4" s="12" t="s">
        <v>82</v>
      </c>
      <c r="C4" s="9" t="s">
        <v>68</v>
      </c>
      <c r="D4" s="9">
        <v>45505</v>
      </c>
      <c r="E4" s="9">
        <v>45626</v>
      </c>
      <c r="F4" s="9">
        <v>45505</v>
      </c>
      <c r="G4" s="9">
        <v>45626</v>
      </c>
    </row>
    <row r="5" spans="1:7" x14ac:dyDescent="0.4">
      <c r="A5" s="15">
        <v>3</v>
      </c>
      <c r="B5" s="12" t="s">
        <v>83</v>
      </c>
      <c r="C5" s="9" t="s">
        <v>68</v>
      </c>
      <c r="D5" s="9">
        <v>45505</v>
      </c>
      <c r="E5" s="9">
        <v>45657</v>
      </c>
      <c r="F5" s="9">
        <v>45505</v>
      </c>
      <c r="G5" s="9">
        <v>45657</v>
      </c>
    </row>
    <row r="6" spans="1:7" x14ac:dyDescent="0.4">
      <c r="A6" s="15">
        <v>4</v>
      </c>
      <c r="B6" s="12" t="s">
        <v>84</v>
      </c>
      <c r="C6" s="9" t="s">
        <v>68</v>
      </c>
      <c r="D6" s="9">
        <v>45505</v>
      </c>
      <c r="E6" s="9">
        <v>45657</v>
      </c>
      <c r="F6" s="9">
        <v>45505</v>
      </c>
      <c r="G6" s="9">
        <v>45657</v>
      </c>
    </row>
    <row r="7" spans="1:7" x14ac:dyDescent="0.4">
      <c r="A7" s="15">
        <v>5</v>
      </c>
      <c r="B7" s="12" t="s">
        <v>85</v>
      </c>
      <c r="C7" s="9" t="s">
        <v>68</v>
      </c>
      <c r="D7" s="9">
        <v>45597</v>
      </c>
      <c r="E7" s="9">
        <v>45657</v>
      </c>
      <c r="F7" s="9">
        <v>45597</v>
      </c>
      <c r="G7" s="9">
        <v>45657</v>
      </c>
    </row>
    <row r="8" spans="1:7" x14ac:dyDescent="0.4">
      <c r="A8" s="15">
        <v>6</v>
      </c>
      <c r="B8" s="13" t="s">
        <v>86</v>
      </c>
      <c r="C8" s="9" t="s">
        <v>68</v>
      </c>
      <c r="D8" s="9">
        <v>45627</v>
      </c>
      <c r="E8" s="9">
        <v>45657</v>
      </c>
      <c r="F8" s="9">
        <v>45627</v>
      </c>
      <c r="G8" s="9">
        <v>45657</v>
      </c>
    </row>
    <row r="9" spans="1:7" x14ac:dyDescent="0.4">
      <c r="A9" s="15">
        <v>7</v>
      </c>
      <c r="B9" s="13" t="s">
        <v>87</v>
      </c>
      <c r="C9" s="9" t="s">
        <v>69</v>
      </c>
      <c r="D9" s="9">
        <v>45658</v>
      </c>
      <c r="E9" s="9">
        <v>46022</v>
      </c>
      <c r="F9" s="9">
        <v>45658</v>
      </c>
      <c r="G9" s="9">
        <v>46022</v>
      </c>
    </row>
    <row r="10" spans="1:7" x14ac:dyDescent="0.4">
      <c r="A10" s="15">
        <v>8</v>
      </c>
      <c r="B10" s="12" t="s">
        <v>88</v>
      </c>
      <c r="C10" s="9" t="s">
        <v>69</v>
      </c>
      <c r="D10" s="9">
        <v>45658</v>
      </c>
      <c r="E10" s="9">
        <v>46022</v>
      </c>
      <c r="F10" s="9">
        <v>45658</v>
      </c>
      <c r="G10" s="9">
        <v>46022</v>
      </c>
    </row>
    <row r="11" spans="1:7" x14ac:dyDescent="0.4">
      <c r="A11" s="15">
        <v>9</v>
      </c>
      <c r="B11" s="12" t="s">
        <v>89</v>
      </c>
      <c r="C11" s="9" t="s">
        <v>69</v>
      </c>
      <c r="D11" s="9">
        <v>45658</v>
      </c>
      <c r="E11" s="9">
        <v>45747</v>
      </c>
      <c r="F11" s="9">
        <v>45658</v>
      </c>
      <c r="G11" s="9">
        <v>45747</v>
      </c>
    </row>
    <row r="12" spans="1:7" x14ac:dyDescent="0.4">
      <c r="A12" s="15">
        <v>10</v>
      </c>
      <c r="B12" s="12" t="s">
        <v>90</v>
      </c>
      <c r="C12" s="9" t="s">
        <v>69</v>
      </c>
      <c r="D12" s="9">
        <v>45658</v>
      </c>
      <c r="E12" s="9">
        <v>45838</v>
      </c>
      <c r="F12" s="9">
        <v>45658</v>
      </c>
      <c r="G12" s="9">
        <v>45838</v>
      </c>
    </row>
    <row r="13" spans="1:7" x14ac:dyDescent="0.4">
      <c r="A13" s="15">
        <v>11</v>
      </c>
      <c r="B13" s="12" t="s">
        <v>91</v>
      </c>
      <c r="C13" s="9" t="s">
        <v>69</v>
      </c>
      <c r="D13" s="9">
        <v>45658</v>
      </c>
      <c r="E13" s="9">
        <v>46022</v>
      </c>
      <c r="F13" s="9">
        <v>45658</v>
      </c>
      <c r="G13" s="9">
        <v>46022</v>
      </c>
    </row>
    <row r="14" spans="1:7" x14ac:dyDescent="0.4">
      <c r="A14" s="15">
        <v>12</v>
      </c>
      <c r="B14" s="12" t="s">
        <v>92</v>
      </c>
      <c r="C14" s="9" t="s">
        <v>70</v>
      </c>
      <c r="D14" s="9">
        <v>46023</v>
      </c>
      <c r="E14" s="9">
        <v>46112</v>
      </c>
      <c r="F14" s="9">
        <v>46023</v>
      </c>
      <c r="G14" s="9">
        <v>46112</v>
      </c>
    </row>
    <row r="15" spans="1:7" x14ac:dyDescent="0.4">
      <c r="A15" s="15">
        <v>13</v>
      </c>
      <c r="B15" s="12" t="s">
        <v>93</v>
      </c>
      <c r="C15" s="9" t="s">
        <v>70</v>
      </c>
      <c r="D15" s="9">
        <v>46054</v>
      </c>
      <c r="E15" s="9">
        <v>46173</v>
      </c>
      <c r="F15" s="9">
        <v>46054</v>
      </c>
      <c r="G15" s="9">
        <v>46173</v>
      </c>
    </row>
    <row r="16" spans="1:7" x14ac:dyDescent="0.4">
      <c r="A16" s="15">
        <v>14</v>
      </c>
      <c r="B16" s="12" t="s">
        <v>94</v>
      </c>
      <c r="C16" s="9" t="s">
        <v>70</v>
      </c>
      <c r="D16" s="9">
        <v>46023</v>
      </c>
      <c r="E16" s="9">
        <v>46173</v>
      </c>
      <c r="F16" s="9">
        <v>46023</v>
      </c>
      <c r="G16" s="9">
        <v>46173</v>
      </c>
    </row>
    <row r="17" spans="1:7" x14ac:dyDescent="0.4">
      <c r="A17" s="15">
        <v>15</v>
      </c>
      <c r="B17" s="14" t="s">
        <v>95</v>
      </c>
      <c r="C17" s="9" t="s">
        <v>70</v>
      </c>
      <c r="D17" s="9">
        <v>46113</v>
      </c>
      <c r="E17" s="9">
        <v>46203</v>
      </c>
      <c r="F17" s="9"/>
      <c r="G17" s="9"/>
    </row>
    <row r="18" spans="1:7" x14ac:dyDescent="0.4">
      <c r="A18" s="15" t="s">
        <v>71</v>
      </c>
      <c r="B18" s="14"/>
      <c r="C18" s="9"/>
      <c r="D18" s="9"/>
      <c r="E18" s="9"/>
      <c r="F18" s="9"/>
      <c r="G18" s="9"/>
    </row>
    <row r="19" spans="1:7" x14ac:dyDescent="0.4">
      <c r="A19" s="15"/>
      <c r="B19" s="14"/>
      <c r="C19" s="9"/>
      <c r="D19" s="9"/>
      <c r="E19" s="9"/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0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M31"/>
  <sheetViews>
    <sheetView workbookViewId="0">
      <selection activeCell="B18" sqref="B18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3" ht="17.399999999999999" customHeight="1" x14ac:dyDescent="0.4">
      <c r="A1" s="29" t="s">
        <v>8</v>
      </c>
      <c r="B1" s="29" t="s">
        <v>9</v>
      </c>
      <c r="C1" s="29" t="s">
        <v>10</v>
      </c>
      <c r="D1" s="29" t="s">
        <v>11</v>
      </c>
      <c r="E1" s="32" t="s">
        <v>17</v>
      </c>
      <c r="F1" s="33"/>
      <c r="G1" s="33"/>
      <c r="H1" s="32" t="s">
        <v>16</v>
      </c>
      <c r="I1" s="33"/>
      <c r="J1" s="33"/>
      <c r="K1" s="31" t="s">
        <v>13</v>
      </c>
      <c r="L1" s="31"/>
      <c r="M1" s="31"/>
    </row>
    <row r="2" spans="1:13" x14ac:dyDescent="0.4">
      <c r="A2" s="30"/>
      <c r="B2" s="30"/>
      <c r="C2" s="30"/>
      <c r="D2" s="30"/>
      <c r="E2" s="19" t="s">
        <v>68</v>
      </c>
      <c r="F2" s="19" t="s">
        <v>69</v>
      </c>
      <c r="G2" s="19" t="s">
        <v>70</v>
      </c>
      <c r="H2" s="19" t="s">
        <v>68</v>
      </c>
      <c r="I2" s="19" t="s">
        <v>69</v>
      </c>
      <c r="J2" s="19" t="s">
        <v>70</v>
      </c>
      <c r="K2" s="19" t="s">
        <v>68</v>
      </c>
      <c r="L2" s="19" t="s">
        <v>69</v>
      </c>
      <c r="M2" s="19" t="s">
        <v>70</v>
      </c>
    </row>
    <row r="3" spans="1:13" ht="21.6" x14ac:dyDescent="0.4">
      <c r="A3" s="21" t="s">
        <v>96</v>
      </c>
      <c r="B3" s="21" t="s">
        <v>97</v>
      </c>
      <c r="C3" s="21" t="s">
        <v>98</v>
      </c>
      <c r="D3" s="21">
        <v>32</v>
      </c>
      <c r="E3" s="21">
        <v>76</v>
      </c>
      <c r="F3" s="21">
        <v>78</v>
      </c>
      <c r="G3" s="21">
        <v>80</v>
      </c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 t="str" cm="1">
        <f t="array" ref="I3">IFERROR(IF(ISNUMBER(INDEX(정량지표상세!$C$2:$C$24, MATCH(1, (정량지표상세!$A$2:$A$24=$A3) * (정량지표상세!$B$2:$B$24=I$2), 0))),
    SUMIFS(정량지표상세!$C$2:$C$24, 정량지표상세!$A$2:$A$24, $A3, 정량지표상세!$B$2:$B$24, I$2),
    INDEX(정량지표상세!$C$2:$C$24, MATCH(1, (정량지표상세!$A$2:$A$24=$A3) * (정량지표상세!$B$2:$B$24=I$2), 0))),"")</f>
        <v/>
      </c>
      <c r="J3" s="22" t="str" cm="1">
        <f t="array" ref="J3">IFERROR(IF(ISNUMBER(INDEX(정량지표상세!$C$2:$C$24, MATCH(1, (정량지표상세!$A$2:$A$24=$A3) * (정량지표상세!$B$2:$B$24=J$2), 0))),
    SUMIFS(정량지표상세!$C$2:$C$24, 정량지표상세!$A$2:$A$24, $A3, 정량지표상세!$B$2:$B$24, J$2),
    INDEX(정량지표상세!$C$2:$C$24, MATCH(1, (정량지표상세!$A$2:$A$24=$A3) * (정량지표상세!$B$2:$B$24=J$2), 0))),"")</f>
        <v/>
      </c>
      <c r="K3" s="23" t="str">
        <f t="shared" ref="K3" si="0">IF(E3="","",
   IF(ISNUMBER(E3),
      IF(N(H3)/E3&gt;=1,"달성","미달성"),
      IF(E3=H3,"달성","미달성")
   )
)</f>
        <v>미달성</v>
      </c>
      <c r="L3" s="23" t="str">
        <f t="shared" ref="L3" si="1">IF(F3="","",
   IF(ISNUMBER(F3),
      IF(N(I3)/F3&gt;=1,"달성","미달성"),
      IF(F3=I3,"달성","미달성")
   )
)</f>
        <v>미달성</v>
      </c>
      <c r="M3" s="23" t="str">
        <f t="shared" ref="M3" si="2">IF(G3="","",
   IF(ISNUMBER(G3),
      IF(N(J3)/G3&gt;=1,"달성","미달성"),
      IF(G3=J3,"달성","미달성")
   )
)</f>
        <v>미달성</v>
      </c>
    </row>
    <row r="4" spans="1:13" ht="21.6" x14ac:dyDescent="0.4">
      <c r="A4" s="21" t="s">
        <v>99</v>
      </c>
      <c r="B4" s="21" t="s">
        <v>97</v>
      </c>
      <c r="C4" s="21" t="s">
        <v>98</v>
      </c>
      <c r="D4" s="21">
        <v>16</v>
      </c>
      <c r="E4" s="21">
        <v>75</v>
      </c>
      <c r="F4" s="21">
        <v>77</v>
      </c>
      <c r="G4" s="21">
        <v>80</v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 t="str" cm="1">
        <f t="array" ref="I4">IFERROR(IF(ISNUMBER(INDEX(정량지표상세!$C$2:$C$24, MATCH(1, (정량지표상세!$A$2:$A$24=$A4) * (정량지표상세!$B$2:$B$24=I$2), 0))),
    SUMIFS(정량지표상세!$C$2:$C$24, 정량지표상세!$A$2:$A$24, $A4, 정량지표상세!$B$2:$B$24, I$2),
    INDEX(정량지표상세!$C$2:$C$24, MATCH(1, (정량지표상세!$A$2:$A$24=$A4) * (정량지표상세!$B$2:$B$24=I$2), 0))),"")</f>
        <v/>
      </c>
      <c r="J4" s="22" t="str" cm="1">
        <f t="array" ref="J4">IFERROR(IF(ISNUMBER(INDEX(정량지표상세!$C$2:$C$24, MATCH(1, (정량지표상세!$A$2:$A$24=$A4) * (정량지표상세!$B$2:$B$24=J$2), 0))),
    SUMIFS(정량지표상세!$C$2:$C$24, 정량지표상세!$A$2:$A$24, $A4, 정량지표상세!$B$2:$B$24, J$2),
    INDEX(정량지표상세!$C$2:$C$24, MATCH(1, (정량지표상세!$A$2:$A$24=$A4) * (정량지표상세!$B$2:$B$24=J$2), 0))),"")</f>
        <v/>
      </c>
      <c r="K4" s="23" t="str">
        <f t="shared" ref="K4:K30" si="3">IF(E4="","",
   IF(ISNUMBER(E4),
      IF(N(H4)/E4&gt;=1,"달성","미달성"),
      IF(E4=H4,"달성","미달성")
   )
)</f>
        <v>미달성</v>
      </c>
      <c r="L4" s="23" t="str">
        <f t="shared" ref="L4:L30" si="4">IF(F4="","",
   IF(ISNUMBER(F4),
      IF(N(I4)/F4&gt;=1,"달성","미달성"),
      IF(F4=I4,"달성","미달성")
   )
)</f>
        <v>미달성</v>
      </c>
      <c r="M4" s="23" t="str">
        <f t="shared" ref="M4:M30" si="5">IF(G4="","",
   IF(ISNUMBER(G4),
      IF(N(J4)/G4&gt;=1,"달성","미달성"),
      IF(G4=J4,"달성","미달성")
   )
)</f>
        <v>미달성</v>
      </c>
    </row>
    <row r="5" spans="1:13" ht="21.6" x14ac:dyDescent="0.4">
      <c r="A5" s="21" t="s">
        <v>100</v>
      </c>
      <c r="B5" s="21" t="s">
        <v>97</v>
      </c>
      <c r="C5" s="21" t="s">
        <v>98</v>
      </c>
      <c r="D5" s="21">
        <v>16</v>
      </c>
      <c r="E5" s="21">
        <v>75</v>
      </c>
      <c r="F5" s="21">
        <v>77</v>
      </c>
      <c r="G5" s="21">
        <v>80</v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 t="str" cm="1">
        <f t="array" ref="I5">IFERROR(IF(ISNUMBER(INDEX(정량지표상세!$C$2:$C$24, MATCH(1, (정량지표상세!$A$2:$A$24=$A5) * (정량지표상세!$B$2:$B$24=I$2), 0))),
    SUMIFS(정량지표상세!$C$2:$C$24, 정량지표상세!$A$2:$A$24, $A5, 정량지표상세!$B$2:$B$24, I$2),
    INDEX(정량지표상세!$C$2:$C$24, MATCH(1, (정량지표상세!$A$2:$A$24=$A5) * (정량지표상세!$B$2:$B$24=I$2), 0))),"")</f>
        <v/>
      </c>
      <c r="J5" s="22" t="str" cm="1">
        <f t="array" ref="J5">IFERROR(IF(ISNUMBER(INDEX(정량지표상세!$C$2:$C$24, MATCH(1, (정량지표상세!$A$2:$A$24=$A5) * (정량지표상세!$B$2:$B$24=J$2), 0))),
    SUMIFS(정량지표상세!$C$2:$C$24, 정량지표상세!$A$2:$A$24, $A5, 정량지표상세!$B$2:$B$24, J$2),
    INDEX(정량지표상세!$C$2:$C$24, MATCH(1, (정량지표상세!$A$2:$A$24=$A5) * (정량지표상세!$B$2:$B$24=J$2), 0))),"")</f>
        <v/>
      </c>
      <c r="K5" s="23" t="str">
        <f t="shared" si="3"/>
        <v>미달성</v>
      </c>
      <c r="L5" s="23" t="str">
        <f t="shared" si="4"/>
        <v>미달성</v>
      </c>
      <c r="M5" s="23" t="str">
        <f t="shared" si="5"/>
        <v>미달성</v>
      </c>
    </row>
    <row r="6" spans="1:13" x14ac:dyDescent="0.4">
      <c r="A6" s="21" t="s">
        <v>101</v>
      </c>
      <c r="B6" s="21" t="s">
        <v>102</v>
      </c>
      <c r="C6" s="21" t="s">
        <v>103</v>
      </c>
      <c r="D6" s="21">
        <v>6</v>
      </c>
      <c r="E6" s="21"/>
      <c r="F6" s="21">
        <v>1</v>
      </c>
      <c r="G6" s="21"/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 cm="1">
        <f t="array" ref="I6">IFERROR(IF(ISNUMBER(INDEX(정량지표상세!$C$2:$C$24, MATCH(1, (정량지표상세!$A$2:$A$24=$A6) * (정량지표상세!$B$2:$B$24=I$2), 0))),
    SUMIFS(정량지표상세!$C$2:$C$24, 정량지표상세!$A$2:$A$24, $A6, 정량지표상세!$B$2:$B$24, I$2),
    INDEX(정량지표상세!$C$2:$C$24, MATCH(1, (정량지표상세!$A$2:$A$24=$A6) * (정량지표상세!$B$2:$B$24=I$2), 0))),"")</f>
        <v>1</v>
      </c>
      <c r="J6" s="22" t="str" cm="1">
        <f t="array" ref="J6">IFERROR(IF(ISNUMBER(INDEX(정량지표상세!$C$2:$C$24, MATCH(1, (정량지표상세!$A$2:$A$24=$A6) * (정량지표상세!$B$2:$B$24=J$2), 0))),
    SUMIFS(정량지표상세!$C$2:$C$24, 정량지표상세!$A$2:$A$24, $A6, 정량지표상세!$B$2:$B$24, J$2),
    INDEX(정량지표상세!$C$2:$C$24, MATCH(1, (정량지표상세!$A$2:$A$24=$A6) * (정량지표상세!$B$2:$B$24=J$2), 0))),"")</f>
        <v/>
      </c>
      <c r="K6" s="23" t="str">
        <f t="shared" si="3"/>
        <v/>
      </c>
      <c r="L6" s="23" t="str">
        <f t="shared" si="4"/>
        <v>달성</v>
      </c>
      <c r="M6" s="23" t="str">
        <f t="shared" si="5"/>
        <v/>
      </c>
    </row>
    <row r="7" spans="1:13" x14ac:dyDescent="0.4">
      <c r="A7" s="21" t="s">
        <v>104</v>
      </c>
      <c r="B7" s="21" t="s">
        <v>102</v>
      </c>
      <c r="C7" s="21" t="s">
        <v>103</v>
      </c>
      <c r="D7" s="21">
        <v>10</v>
      </c>
      <c r="E7" s="21"/>
      <c r="F7" s="21">
        <v>1</v>
      </c>
      <c r="G7" s="21"/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 cm="1">
        <f t="array" ref="I7">IFERROR(IF(ISNUMBER(INDEX(정량지표상세!$C$2:$C$24, MATCH(1, (정량지표상세!$A$2:$A$24=$A7) * (정량지표상세!$B$2:$B$24=I$2), 0))),
    SUMIFS(정량지표상세!$C$2:$C$24, 정량지표상세!$A$2:$A$24, $A7, 정량지표상세!$B$2:$B$24, I$2),
    INDEX(정량지표상세!$C$2:$C$24, MATCH(1, (정량지표상세!$A$2:$A$24=$A7) * (정량지표상세!$B$2:$B$24=I$2), 0))),"")</f>
        <v>1</v>
      </c>
      <c r="J7" s="22" t="str" cm="1">
        <f t="array" ref="J7">IFERROR(IF(ISNUMBER(INDEX(정량지표상세!$C$2:$C$24, MATCH(1, (정량지표상세!$A$2:$A$24=$A7) * (정량지표상세!$B$2:$B$24=J$2), 0))),
    SUMIFS(정량지표상세!$C$2:$C$24, 정량지표상세!$A$2:$A$24, $A7, 정량지표상세!$B$2:$B$24, J$2),
    INDEX(정량지표상세!$C$2:$C$24, MATCH(1, (정량지표상세!$A$2:$A$24=$A7) * (정량지표상세!$B$2:$B$24=J$2), 0))),"")</f>
        <v/>
      </c>
      <c r="K7" s="23" t="str">
        <f t="shared" si="3"/>
        <v/>
      </c>
      <c r="L7" s="23" t="str">
        <f t="shared" si="4"/>
        <v>달성</v>
      </c>
      <c r="M7" s="23" t="str">
        <f t="shared" si="5"/>
        <v/>
      </c>
    </row>
    <row r="8" spans="1:13" x14ac:dyDescent="0.4">
      <c r="A8" s="21" t="s">
        <v>105</v>
      </c>
      <c r="B8" s="21" t="s">
        <v>102</v>
      </c>
      <c r="C8" s="21" t="s">
        <v>103</v>
      </c>
      <c r="D8" s="21">
        <v>10</v>
      </c>
      <c r="E8" s="21"/>
      <c r="F8" s="21"/>
      <c r="G8" s="21">
        <v>1</v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 t="str" cm="1">
        <f t="array" ref="I8">IFERROR(IF(ISNUMBER(INDEX(정량지표상세!$C$2:$C$24, MATCH(1, (정량지표상세!$A$2:$A$24=$A8) * (정량지표상세!$B$2:$B$24=I$2), 0))),
    SUMIFS(정량지표상세!$C$2:$C$24, 정량지표상세!$A$2:$A$24, $A8, 정량지표상세!$B$2:$B$24, I$2),
    INDEX(정량지표상세!$C$2:$C$24, MATCH(1, (정량지표상세!$A$2:$A$24=$A8) * (정량지표상세!$B$2:$B$24=I$2), 0))),"")</f>
        <v/>
      </c>
      <c r="J8" s="22" cm="1">
        <f t="array" ref="J8">IFERROR(IF(ISNUMBER(INDEX(정량지표상세!$C$2:$C$24, MATCH(1, (정량지표상세!$A$2:$A$24=$A8) * (정량지표상세!$B$2:$B$24=J$2), 0))),
    SUMIFS(정량지표상세!$C$2:$C$24, 정량지표상세!$A$2:$A$24, $A8, 정량지표상세!$B$2:$B$24, J$2),
    INDEX(정량지표상세!$C$2:$C$24, MATCH(1, (정량지표상세!$A$2:$A$24=$A8) * (정량지표상세!$B$2:$B$24=J$2), 0))),"")</f>
        <v>1</v>
      </c>
      <c r="K8" s="23" t="str">
        <f t="shared" si="3"/>
        <v/>
      </c>
      <c r="L8" s="23" t="str">
        <f t="shared" si="4"/>
        <v/>
      </c>
      <c r="M8" s="23" t="str">
        <f t="shared" si="5"/>
        <v>달성</v>
      </c>
    </row>
    <row r="9" spans="1:13" x14ac:dyDescent="0.4">
      <c r="A9" s="21" t="s">
        <v>106</v>
      </c>
      <c r="B9" s="21" t="s">
        <v>107</v>
      </c>
      <c r="C9" s="21" t="s">
        <v>103</v>
      </c>
      <c r="D9" s="21">
        <v>10</v>
      </c>
      <c r="E9" s="21"/>
      <c r="F9" s="21"/>
      <c r="G9" s="21">
        <v>1</v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 t="str" cm="1">
        <f t="array" ref="I9">IFERROR(IF(ISNUMBER(INDEX(정량지표상세!$C$2:$C$24, MATCH(1, (정량지표상세!$A$2:$A$24=$A9) * (정량지표상세!$B$2:$B$24=I$2), 0))),
    SUMIFS(정량지표상세!$C$2:$C$24, 정량지표상세!$A$2:$A$24, $A9, 정량지표상세!$B$2:$B$24, I$2),
    INDEX(정량지표상세!$C$2:$C$24, MATCH(1, (정량지표상세!$A$2:$A$24=$A9) * (정량지표상세!$B$2:$B$24=I$2), 0))),"")</f>
        <v/>
      </c>
      <c r="J9" s="22" t="str" cm="1">
        <f t="array" ref="J9">IFERROR(IF(ISNUMBER(INDEX(정량지표상세!$C$2:$C$24, MATCH(1, (정량지표상세!$A$2:$A$24=$A9) * (정량지표상세!$B$2:$B$24=J$2), 0))),
    SUMIFS(정량지표상세!$C$2:$C$24, 정량지표상세!$A$2:$A$24, $A9, 정량지표상세!$B$2:$B$24, J$2),
    INDEX(정량지표상세!$C$2:$C$24, MATCH(1, (정량지표상세!$A$2:$A$24=$A9) * (정량지표상세!$B$2:$B$24=J$2), 0))),"")</f>
        <v/>
      </c>
      <c r="K9" s="23" t="str">
        <f t="shared" si="3"/>
        <v/>
      </c>
      <c r="L9" s="23" t="str">
        <f t="shared" si="4"/>
        <v/>
      </c>
      <c r="M9" s="23" t="str">
        <f t="shared" si="5"/>
        <v>미달성</v>
      </c>
    </row>
    <row r="10" spans="1:13" x14ac:dyDescent="0.4">
      <c r="A10" s="21" t="s">
        <v>108</v>
      </c>
      <c r="B10" s="21"/>
      <c r="C10" s="21" t="s">
        <v>20</v>
      </c>
      <c r="D10" s="21"/>
      <c r="E10" s="21">
        <v>2</v>
      </c>
      <c r="F10" s="21">
        <v>1</v>
      </c>
      <c r="G10" s="21"/>
      <c r="H10" s="22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>2</v>
      </c>
      <c r="I10" s="22" cm="1">
        <f t="array" ref="I10">IFERROR(IF(ISNUMBER(INDEX(정량지표상세!$C$2:$C$24, MATCH(1, (정량지표상세!$A$2:$A$24=$A10) * (정량지표상세!$B$2:$B$24=I$2), 0))),
    SUMIFS(정량지표상세!$C$2:$C$24, 정량지표상세!$A$2:$A$24, $A10, 정량지표상세!$B$2:$B$24, I$2),
    INDEX(정량지표상세!$C$2:$C$24, MATCH(1, (정량지표상세!$A$2:$A$24=$A10) * (정량지표상세!$B$2:$B$24=I$2), 0))),"")</f>
        <v>1</v>
      </c>
      <c r="J10" s="22" t="str" cm="1">
        <f t="array" ref="J10">IFERROR(IF(ISNUMBER(INDEX(정량지표상세!$C$2:$C$24, MATCH(1, (정량지표상세!$A$2:$A$24=$A10) * (정량지표상세!$B$2:$B$24=J$2), 0))),
    SUMIFS(정량지표상세!$C$2:$C$24, 정량지표상세!$A$2:$A$24, $A10, 정량지표상세!$B$2:$B$24, J$2),
    INDEX(정량지표상세!$C$2:$C$24, MATCH(1, (정량지표상세!$A$2:$A$24=$A10) * (정량지표상세!$B$2:$B$24=J$2), 0))),"")</f>
        <v/>
      </c>
      <c r="K10" s="23" t="str">
        <f t="shared" si="3"/>
        <v>달성</v>
      </c>
      <c r="L10" s="23" t="str">
        <f t="shared" si="4"/>
        <v>달성</v>
      </c>
      <c r="M10" s="23" t="str">
        <f t="shared" si="5"/>
        <v/>
      </c>
    </row>
    <row r="11" spans="1:13" x14ac:dyDescent="0.4">
      <c r="A11" s="21" t="s">
        <v>109</v>
      </c>
      <c r="B11" s="21"/>
      <c r="C11" s="21" t="s">
        <v>110</v>
      </c>
      <c r="D11" s="21"/>
      <c r="E11" s="21"/>
      <c r="F11" s="21">
        <v>580</v>
      </c>
      <c r="G11" s="21">
        <v>600</v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 cm="1">
        <f t="array" ref="I11">IFERROR(IF(ISNUMBER(INDEX(정량지표상세!$C$2:$C$24, MATCH(1, (정량지표상세!$A$2:$A$24=$A11) * (정량지표상세!$B$2:$B$24=I$2), 0))),
    SUMIFS(정량지표상세!$C$2:$C$24, 정량지표상세!$A$2:$A$24, $A11, 정량지표상세!$B$2:$B$24, I$2),
    INDEX(정량지표상세!$C$2:$C$24, MATCH(1, (정량지표상세!$A$2:$A$24=$A11) * (정량지표상세!$B$2:$B$24=I$2), 0))),"")</f>
        <v>370</v>
      </c>
      <c r="J11" s="22" t="str" cm="1">
        <f t="array" ref="J11">IFERROR(IF(ISNUMBER(INDEX(정량지표상세!$C$2:$C$24, MATCH(1, (정량지표상세!$A$2:$A$24=$A11) * (정량지표상세!$B$2:$B$24=J$2), 0))),
    SUMIFS(정량지표상세!$C$2:$C$24, 정량지표상세!$A$2:$A$24, $A11, 정량지표상세!$B$2:$B$24, J$2),
    INDEX(정량지표상세!$C$2:$C$24, MATCH(1, (정량지표상세!$A$2:$A$24=$A11) * (정량지표상세!$B$2:$B$24=J$2), 0))),"")</f>
        <v/>
      </c>
      <c r="K11" s="23" t="str">
        <f t="shared" si="3"/>
        <v/>
      </c>
      <c r="L11" s="23" t="str">
        <f t="shared" si="4"/>
        <v>미달성</v>
      </c>
      <c r="M11" s="23" t="str">
        <f t="shared" si="5"/>
        <v>미달성</v>
      </c>
    </row>
    <row r="12" spans="1:13" x14ac:dyDescent="0.4">
      <c r="A12" s="21" t="s">
        <v>111</v>
      </c>
      <c r="B12" s="21"/>
      <c r="C12" s="21" t="s">
        <v>110</v>
      </c>
      <c r="D12" s="21"/>
      <c r="E12" s="21"/>
      <c r="F12" s="21">
        <v>1010</v>
      </c>
      <c r="G12" s="21">
        <v>5000</v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 t="str" cm="1">
        <f t="array" ref="I12">IFERROR(IF(ISNUMBER(INDEX(정량지표상세!$C$2:$C$24, MATCH(1, (정량지표상세!$A$2:$A$24=$A12) * (정량지표상세!$B$2:$B$24=I$2), 0))),
    SUMIFS(정량지표상세!$C$2:$C$24, 정량지표상세!$A$2:$A$24, $A12, 정량지표상세!$B$2:$B$24, I$2),
    INDEX(정량지표상세!$C$2:$C$24, MATCH(1, (정량지표상세!$A$2:$A$24=$A12) * (정량지표상세!$B$2:$B$24=I$2), 0))),"")</f>
        <v/>
      </c>
      <c r="J12" s="22" t="str" cm="1">
        <f t="array" ref="J12">IFERROR(IF(ISNUMBER(INDEX(정량지표상세!$C$2:$C$24, MATCH(1, (정량지표상세!$A$2:$A$24=$A12) * (정량지표상세!$B$2:$B$24=J$2), 0))),
    SUMIFS(정량지표상세!$C$2:$C$24, 정량지표상세!$A$2:$A$24, $A12, 정량지표상세!$B$2:$B$24, J$2),
    INDEX(정량지표상세!$C$2:$C$24, MATCH(1, (정량지표상세!$A$2:$A$24=$A12) * (정량지표상세!$B$2:$B$24=J$2), 0))),"")</f>
        <v/>
      </c>
      <c r="K12" s="23" t="str">
        <f t="shared" si="3"/>
        <v/>
      </c>
      <c r="L12" s="23" t="str">
        <f t="shared" si="4"/>
        <v>미달성</v>
      </c>
      <c r="M12" s="23" t="str">
        <f t="shared" si="5"/>
        <v>미달성</v>
      </c>
    </row>
    <row r="13" spans="1:13" x14ac:dyDescent="0.4">
      <c r="A13" s="21" t="s">
        <v>112</v>
      </c>
      <c r="B13" s="21"/>
      <c r="C13" s="21" t="s">
        <v>103</v>
      </c>
      <c r="D13" s="21"/>
      <c r="E13" s="21"/>
      <c r="F13" s="21">
        <v>2</v>
      </c>
      <c r="G13" s="21">
        <v>3</v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2" t="str" cm="1">
        <f t="array" ref="I13">IFERROR(IF(ISNUMBER(INDEX(정량지표상세!$C$2:$C$24, MATCH(1, (정량지표상세!$A$2:$A$24=$A13) * (정량지표상세!$B$2:$B$24=I$2), 0))),
    SUMIFS(정량지표상세!$C$2:$C$24, 정량지표상세!$A$2:$A$24, $A13, 정량지표상세!$B$2:$B$24, I$2),
    INDEX(정량지표상세!$C$2:$C$24, MATCH(1, (정량지표상세!$A$2:$A$24=$A13) * (정량지표상세!$B$2:$B$24=I$2), 0))),"")</f>
        <v/>
      </c>
      <c r="J13" s="22" t="str" cm="1">
        <f t="array" ref="J13">IFERROR(IF(ISNUMBER(INDEX(정량지표상세!$C$2:$C$24, MATCH(1, (정량지표상세!$A$2:$A$24=$A13) * (정량지표상세!$B$2:$B$24=J$2), 0))),
    SUMIFS(정량지표상세!$C$2:$C$24, 정량지표상세!$A$2:$A$24, $A13, 정량지표상세!$B$2:$B$24, J$2),
    INDEX(정량지표상세!$C$2:$C$24, MATCH(1, (정량지표상세!$A$2:$A$24=$A13) * (정량지표상세!$B$2:$B$24=J$2), 0))),"")</f>
        <v/>
      </c>
      <c r="K13" s="23" t="str">
        <f t="shared" si="3"/>
        <v/>
      </c>
      <c r="L13" s="23" t="str">
        <f t="shared" si="4"/>
        <v>미달성</v>
      </c>
      <c r="M13" s="23" t="str">
        <f t="shared" si="5"/>
        <v>미달성</v>
      </c>
    </row>
    <row r="14" spans="1:13" x14ac:dyDescent="0.4">
      <c r="A14" s="21"/>
      <c r="B14" s="21"/>
      <c r="C14" s="21"/>
      <c r="D14" s="21"/>
      <c r="E14" s="21"/>
      <c r="F14" s="21"/>
      <c r="G14" s="21"/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 t="str" cm="1">
        <f t="array" ref="I14">IFERROR(IF(ISNUMBER(INDEX(정량지표상세!$C$2:$C$24, MATCH(1, (정량지표상세!$A$2:$A$24=$A14) * (정량지표상세!$B$2:$B$24=I$2), 0))),
    SUMIFS(정량지표상세!$C$2:$C$24, 정량지표상세!$A$2:$A$24, $A14, 정량지표상세!$B$2:$B$24, I$2),
    INDEX(정량지표상세!$C$2:$C$24, MATCH(1, (정량지표상세!$A$2:$A$24=$A14) * (정량지표상세!$B$2:$B$24=I$2), 0))),"")</f>
        <v/>
      </c>
      <c r="J14" s="22" t="str" cm="1">
        <f t="array" ref="J14">IFERROR(IF(ISNUMBER(INDEX(정량지표상세!$C$2:$C$24, MATCH(1, (정량지표상세!$A$2:$A$24=$A14) * (정량지표상세!$B$2:$B$24=J$2), 0))),
    SUMIFS(정량지표상세!$C$2:$C$24, 정량지표상세!$A$2:$A$24, $A14, 정량지표상세!$B$2:$B$24, J$2),
    INDEX(정량지표상세!$C$2:$C$24, MATCH(1, (정량지표상세!$A$2:$A$24=$A14) * (정량지표상세!$B$2:$B$24=J$2), 0))),"")</f>
        <v/>
      </c>
      <c r="K14" s="23" t="str">
        <f t="shared" si="3"/>
        <v/>
      </c>
      <c r="L14" s="23" t="str">
        <f t="shared" si="4"/>
        <v/>
      </c>
      <c r="M14" s="23" t="str">
        <f t="shared" si="5"/>
        <v/>
      </c>
    </row>
    <row r="15" spans="1:13" x14ac:dyDescent="0.4">
      <c r="A15" s="21"/>
      <c r="B15" s="21"/>
      <c r="C15" s="21"/>
      <c r="D15" s="21"/>
      <c r="E15" s="21"/>
      <c r="F15" s="21"/>
      <c r="G15" s="21"/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 t="str" cm="1">
        <f t="array" ref="I15">IFERROR(IF(ISNUMBER(INDEX(정량지표상세!$C$2:$C$24, MATCH(1, (정량지표상세!$A$2:$A$24=$A15) * (정량지표상세!$B$2:$B$24=I$2), 0))),
    SUMIFS(정량지표상세!$C$2:$C$24, 정량지표상세!$A$2:$A$24, $A15, 정량지표상세!$B$2:$B$24, I$2),
    INDEX(정량지표상세!$C$2:$C$24, MATCH(1, (정량지표상세!$A$2:$A$24=$A15) * (정량지표상세!$B$2:$B$24=I$2), 0))),"")</f>
        <v/>
      </c>
      <c r="J15" s="22" t="str" cm="1">
        <f t="array" ref="J15">IFERROR(IF(ISNUMBER(INDEX(정량지표상세!$C$2:$C$24, MATCH(1, (정량지표상세!$A$2:$A$24=$A15) * (정량지표상세!$B$2:$B$24=J$2), 0))),
    SUMIFS(정량지표상세!$C$2:$C$24, 정량지표상세!$A$2:$A$24, $A15, 정량지표상세!$B$2:$B$24, J$2),
    INDEX(정량지표상세!$C$2:$C$24, MATCH(1, (정량지표상세!$A$2:$A$24=$A15) * (정량지표상세!$B$2:$B$24=J$2), 0))),"")</f>
        <v/>
      </c>
      <c r="K15" s="23" t="str">
        <f t="shared" si="3"/>
        <v/>
      </c>
      <c r="L15" s="23" t="str">
        <f t="shared" si="4"/>
        <v/>
      </c>
      <c r="M15" s="23" t="str">
        <f t="shared" si="5"/>
        <v/>
      </c>
    </row>
    <row r="16" spans="1:13" x14ac:dyDescent="0.4">
      <c r="A16" s="21"/>
      <c r="B16" s="21"/>
      <c r="C16" s="21"/>
      <c r="D16" s="21"/>
      <c r="E16" s="21"/>
      <c r="F16" s="21"/>
      <c r="G16" s="21"/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 t="str" cm="1">
        <f t="array" ref="I16">IFERROR(IF(ISNUMBER(INDEX(정량지표상세!$C$2:$C$24, MATCH(1, (정량지표상세!$A$2:$A$24=$A16) * (정량지표상세!$B$2:$B$24=I$2), 0))),
    SUMIFS(정량지표상세!$C$2:$C$24, 정량지표상세!$A$2:$A$24, $A16, 정량지표상세!$B$2:$B$24, I$2),
    INDEX(정량지표상세!$C$2:$C$24, MATCH(1, (정량지표상세!$A$2:$A$24=$A16) * (정량지표상세!$B$2:$B$24=I$2), 0))),"")</f>
        <v/>
      </c>
      <c r="J16" s="22" t="str" cm="1">
        <f t="array" ref="J16">IFERROR(IF(ISNUMBER(INDEX(정량지표상세!$C$2:$C$24, MATCH(1, (정량지표상세!$A$2:$A$24=$A16) * (정량지표상세!$B$2:$B$24=J$2), 0))),
    SUMIFS(정량지표상세!$C$2:$C$24, 정량지표상세!$A$2:$A$24, $A16, 정량지표상세!$B$2:$B$24, J$2),
    INDEX(정량지표상세!$C$2:$C$24, MATCH(1, (정량지표상세!$A$2:$A$24=$A16) * (정량지표상세!$B$2:$B$24=J$2), 0))),"")</f>
        <v/>
      </c>
      <c r="K16" s="23" t="str">
        <f t="shared" si="3"/>
        <v/>
      </c>
      <c r="L16" s="23" t="str">
        <f t="shared" si="4"/>
        <v/>
      </c>
      <c r="M16" s="23" t="str">
        <f t="shared" si="5"/>
        <v/>
      </c>
    </row>
    <row r="17" spans="1:13" x14ac:dyDescent="0.4">
      <c r="A17" s="21"/>
      <c r="B17" s="21"/>
      <c r="C17" s="21"/>
      <c r="D17" s="21"/>
      <c r="E17" s="21"/>
      <c r="F17" s="21"/>
      <c r="G17" s="21"/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 t="str" cm="1">
        <f t="array" ref="I17">IFERROR(IF(ISNUMBER(INDEX(정량지표상세!$C$2:$C$24, MATCH(1, (정량지표상세!$A$2:$A$24=$A17) * (정량지표상세!$B$2:$B$24=I$2), 0))),
    SUMIFS(정량지표상세!$C$2:$C$24, 정량지표상세!$A$2:$A$24, $A17, 정량지표상세!$B$2:$B$24, I$2),
    INDEX(정량지표상세!$C$2:$C$24, MATCH(1, (정량지표상세!$A$2:$A$24=$A17) * (정량지표상세!$B$2:$B$24=I$2), 0))),"")</f>
        <v/>
      </c>
      <c r="J17" s="22" t="str" cm="1">
        <f t="array" ref="J17">IFERROR(IF(ISNUMBER(INDEX(정량지표상세!$C$2:$C$24, MATCH(1, (정량지표상세!$A$2:$A$24=$A17) * (정량지표상세!$B$2:$B$24=J$2), 0))),
    SUMIFS(정량지표상세!$C$2:$C$24, 정량지표상세!$A$2:$A$24, $A17, 정량지표상세!$B$2:$B$24, J$2),
    INDEX(정량지표상세!$C$2:$C$24, MATCH(1, (정량지표상세!$A$2:$A$24=$A17) * (정량지표상세!$B$2:$B$24=J$2), 0))),"")</f>
        <v/>
      </c>
      <c r="K17" s="23" t="str">
        <f t="shared" si="3"/>
        <v/>
      </c>
      <c r="L17" s="23" t="str">
        <f t="shared" si="4"/>
        <v/>
      </c>
      <c r="M17" s="23" t="str">
        <f t="shared" si="5"/>
        <v/>
      </c>
    </row>
    <row r="18" spans="1:13" x14ac:dyDescent="0.4">
      <c r="A18" s="21"/>
      <c r="B18" s="21"/>
      <c r="C18" s="21"/>
      <c r="D18" s="21"/>
      <c r="E18" s="21"/>
      <c r="F18" s="21"/>
      <c r="G18" s="21"/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 t="str" cm="1">
        <f t="array" ref="I18">IFERROR(IF(ISNUMBER(INDEX(정량지표상세!$C$2:$C$24, MATCH(1, (정량지표상세!$A$2:$A$24=$A18) * (정량지표상세!$B$2:$B$24=I$2), 0))),
    SUMIFS(정량지표상세!$C$2:$C$24, 정량지표상세!$A$2:$A$24, $A18, 정량지표상세!$B$2:$B$24, I$2),
    INDEX(정량지표상세!$C$2:$C$24, MATCH(1, (정량지표상세!$A$2:$A$24=$A18) * (정량지표상세!$B$2:$B$24=I$2), 0))),"")</f>
        <v/>
      </c>
      <c r="J18" s="22" t="str" cm="1">
        <f t="array" ref="J18">IFERROR(IF(ISNUMBER(INDEX(정량지표상세!$C$2:$C$24, MATCH(1, (정량지표상세!$A$2:$A$24=$A18) * (정량지표상세!$B$2:$B$24=J$2), 0))),
    SUMIFS(정량지표상세!$C$2:$C$24, 정량지표상세!$A$2:$A$24, $A18, 정량지표상세!$B$2:$B$24, J$2),
    INDEX(정량지표상세!$C$2:$C$24, MATCH(1, (정량지표상세!$A$2:$A$24=$A18) * (정량지표상세!$B$2:$B$24=J$2), 0))),"")</f>
        <v/>
      </c>
      <c r="K18" s="23" t="str">
        <f t="shared" si="3"/>
        <v/>
      </c>
      <c r="L18" s="23" t="str">
        <f t="shared" si="4"/>
        <v/>
      </c>
      <c r="M18" s="23" t="str">
        <f t="shared" si="5"/>
        <v/>
      </c>
    </row>
    <row r="19" spans="1:13" x14ac:dyDescent="0.4">
      <c r="A19" s="21"/>
      <c r="B19" s="21"/>
      <c r="C19" s="21"/>
      <c r="D19" s="21"/>
      <c r="E19" s="21"/>
      <c r="F19" s="21"/>
      <c r="G19" s="21"/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 t="str" cm="1">
        <f t="array" ref="I19">IFERROR(IF(ISNUMBER(INDEX(정량지표상세!$C$2:$C$24, MATCH(1, (정량지표상세!$A$2:$A$24=$A19) * (정량지표상세!$B$2:$B$24=I$2), 0))),
    SUMIFS(정량지표상세!$C$2:$C$24, 정량지표상세!$A$2:$A$24, $A19, 정량지표상세!$B$2:$B$24, I$2),
    INDEX(정량지표상세!$C$2:$C$24, MATCH(1, (정량지표상세!$A$2:$A$24=$A19) * (정량지표상세!$B$2:$B$24=I$2), 0))),"")</f>
        <v/>
      </c>
      <c r="J19" s="22" t="str" cm="1">
        <f t="array" ref="J19">IFERROR(IF(ISNUMBER(INDEX(정량지표상세!$C$2:$C$24, MATCH(1, (정량지표상세!$A$2:$A$24=$A19) * (정량지표상세!$B$2:$B$24=J$2), 0))),
    SUMIFS(정량지표상세!$C$2:$C$24, 정량지표상세!$A$2:$A$24, $A19, 정량지표상세!$B$2:$B$24, J$2),
    INDEX(정량지표상세!$C$2:$C$24, MATCH(1, (정량지표상세!$A$2:$A$24=$A19) * (정량지표상세!$B$2:$B$24=J$2), 0))),"")</f>
        <v/>
      </c>
      <c r="K19" s="23" t="str">
        <f t="shared" si="3"/>
        <v/>
      </c>
      <c r="L19" s="23" t="str">
        <f t="shared" si="4"/>
        <v/>
      </c>
      <c r="M19" s="23" t="str">
        <f t="shared" si="5"/>
        <v/>
      </c>
    </row>
    <row r="20" spans="1:13" x14ac:dyDescent="0.4">
      <c r="A20" s="21"/>
      <c r="B20" s="21"/>
      <c r="C20" s="21"/>
      <c r="D20" s="21"/>
      <c r="E20" s="21"/>
      <c r="F20" s="21"/>
      <c r="G20" s="21"/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 t="str" cm="1">
        <f t="array" ref="I20">IFERROR(IF(ISNUMBER(INDEX(정량지표상세!$C$2:$C$24, MATCH(1, (정량지표상세!$A$2:$A$24=$A20) * (정량지표상세!$B$2:$B$24=I$2), 0))),
    SUMIFS(정량지표상세!$C$2:$C$24, 정량지표상세!$A$2:$A$24, $A20, 정량지표상세!$B$2:$B$24, I$2),
    INDEX(정량지표상세!$C$2:$C$24, MATCH(1, (정량지표상세!$A$2:$A$24=$A20) * (정량지표상세!$B$2:$B$24=I$2), 0))),"")</f>
        <v/>
      </c>
      <c r="J20" s="22" t="str" cm="1">
        <f t="array" ref="J20">IFERROR(IF(ISNUMBER(INDEX(정량지표상세!$C$2:$C$24, MATCH(1, (정량지표상세!$A$2:$A$24=$A20) * (정량지표상세!$B$2:$B$24=J$2), 0))),
    SUMIFS(정량지표상세!$C$2:$C$24, 정량지표상세!$A$2:$A$24, $A20, 정량지표상세!$B$2:$B$24, J$2),
    INDEX(정량지표상세!$C$2:$C$24, MATCH(1, (정량지표상세!$A$2:$A$24=$A20) * (정량지표상세!$B$2:$B$24=J$2), 0))),"")</f>
        <v/>
      </c>
      <c r="K20" s="23" t="str">
        <f t="shared" si="3"/>
        <v/>
      </c>
      <c r="L20" s="23" t="str">
        <f t="shared" si="4"/>
        <v/>
      </c>
      <c r="M20" s="23" t="str">
        <f t="shared" si="5"/>
        <v/>
      </c>
    </row>
    <row r="21" spans="1:13" x14ac:dyDescent="0.4">
      <c r="A21" s="21"/>
      <c r="B21" s="21"/>
      <c r="C21" s="21"/>
      <c r="D21" s="21"/>
      <c r="E21" s="21"/>
      <c r="F21" s="21"/>
      <c r="G21" s="21"/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 t="str" cm="1">
        <f t="array" ref="I21">IFERROR(IF(ISNUMBER(INDEX(정량지표상세!$C$2:$C$24, MATCH(1, (정량지표상세!$A$2:$A$24=$A21) * (정량지표상세!$B$2:$B$24=I$2), 0))),
    SUMIFS(정량지표상세!$C$2:$C$24, 정량지표상세!$A$2:$A$24, $A21, 정량지표상세!$B$2:$B$24, I$2),
    INDEX(정량지표상세!$C$2:$C$24, MATCH(1, (정량지표상세!$A$2:$A$24=$A21) * (정량지표상세!$B$2:$B$24=I$2), 0))),"")</f>
        <v/>
      </c>
      <c r="J21" s="22" t="str" cm="1">
        <f t="array" ref="J21">IFERROR(IF(ISNUMBER(INDEX(정량지표상세!$C$2:$C$24, MATCH(1, (정량지표상세!$A$2:$A$24=$A21) * (정량지표상세!$B$2:$B$24=J$2), 0))),
    SUMIFS(정량지표상세!$C$2:$C$24, 정량지표상세!$A$2:$A$24, $A21, 정량지표상세!$B$2:$B$24, J$2),
    INDEX(정량지표상세!$C$2:$C$24, MATCH(1, (정량지표상세!$A$2:$A$24=$A21) * (정량지표상세!$B$2:$B$24=J$2), 0))),"")</f>
        <v/>
      </c>
      <c r="K21" s="23" t="str">
        <f t="shared" si="3"/>
        <v/>
      </c>
      <c r="L21" s="23" t="str">
        <f t="shared" si="4"/>
        <v/>
      </c>
      <c r="M21" s="23" t="str">
        <f t="shared" si="5"/>
        <v/>
      </c>
    </row>
    <row r="22" spans="1:13" x14ac:dyDescent="0.4">
      <c r="A22" s="21"/>
      <c r="B22" s="21"/>
      <c r="C22" s="21"/>
      <c r="D22" s="21"/>
      <c r="E22" s="21"/>
      <c r="F22" s="21"/>
      <c r="G22" s="21"/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 t="str" cm="1">
        <f t="array" ref="I22">IFERROR(IF(ISNUMBER(INDEX(정량지표상세!$C$2:$C$24, MATCH(1, (정량지표상세!$A$2:$A$24=$A22) * (정량지표상세!$B$2:$B$24=I$2), 0))),
    SUMIFS(정량지표상세!$C$2:$C$24, 정량지표상세!$A$2:$A$24, $A22, 정량지표상세!$B$2:$B$24, I$2),
    INDEX(정량지표상세!$C$2:$C$24, MATCH(1, (정량지표상세!$A$2:$A$24=$A22) * (정량지표상세!$B$2:$B$24=I$2), 0))),"")</f>
        <v/>
      </c>
      <c r="J22" s="22" t="str" cm="1">
        <f t="array" ref="J22">IFERROR(IF(ISNUMBER(INDEX(정량지표상세!$C$2:$C$24, MATCH(1, (정량지표상세!$A$2:$A$24=$A22) * (정량지표상세!$B$2:$B$24=J$2), 0))),
    SUMIFS(정량지표상세!$C$2:$C$24, 정량지표상세!$A$2:$A$24, $A22, 정량지표상세!$B$2:$B$24, J$2),
    INDEX(정량지표상세!$C$2:$C$24, MATCH(1, (정량지표상세!$A$2:$A$24=$A22) * (정량지표상세!$B$2:$B$24=J$2), 0))),"")</f>
        <v/>
      </c>
      <c r="K22" s="23" t="str">
        <f t="shared" si="3"/>
        <v/>
      </c>
      <c r="L22" s="23" t="str">
        <f t="shared" si="4"/>
        <v/>
      </c>
      <c r="M22" s="23" t="str">
        <f t="shared" si="5"/>
        <v/>
      </c>
    </row>
    <row r="23" spans="1:13" x14ac:dyDescent="0.4">
      <c r="A23" s="21"/>
      <c r="B23" s="21"/>
      <c r="C23" s="21"/>
      <c r="D23" s="21"/>
      <c r="E23" s="21"/>
      <c r="F23" s="21"/>
      <c r="G23" s="21"/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 t="str" cm="1">
        <f t="array" ref="I23">IFERROR(IF(ISNUMBER(INDEX(정량지표상세!$C$2:$C$24, MATCH(1, (정량지표상세!$A$2:$A$24=$A23) * (정량지표상세!$B$2:$B$24=I$2), 0))),
    SUMIFS(정량지표상세!$C$2:$C$24, 정량지표상세!$A$2:$A$24, $A23, 정량지표상세!$B$2:$B$24, I$2),
    INDEX(정량지표상세!$C$2:$C$24, MATCH(1, (정량지표상세!$A$2:$A$24=$A23) * (정량지표상세!$B$2:$B$24=I$2), 0))),"")</f>
        <v/>
      </c>
      <c r="J23" s="22" t="str" cm="1">
        <f t="array" ref="J23">IFERROR(IF(ISNUMBER(INDEX(정량지표상세!$C$2:$C$24, MATCH(1, (정량지표상세!$A$2:$A$24=$A23) * (정량지표상세!$B$2:$B$24=J$2), 0))),
    SUMIFS(정량지표상세!$C$2:$C$24, 정량지표상세!$A$2:$A$24, $A23, 정량지표상세!$B$2:$B$24, J$2),
    INDEX(정량지표상세!$C$2:$C$24, MATCH(1, (정량지표상세!$A$2:$A$24=$A23) * (정량지표상세!$B$2:$B$24=J$2), 0))),"")</f>
        <v/>
      </c>
      <c r="K23" s="23" t="str">
        <f t="shared" si="3"/>
        <v/>
      </c>
      <c r="L23" s="23" t="str">
        <f t="shared" si="4"/>
        <v/>
      </c>
      <c r="M23" s="23" t="str">
        <f t="shared" si="5"/>
        <v/>
      </c>
    </row>
    <row r="24" spans="1:13" x14ac:dyDescent="0.4">
      <c r="A24" s="21"/>
      <c r="B24" s="21"/>
      <c r="C24" s="21"/>
      <c r="D24" s="21"/>
      <c r="E24" s="21"/>
      <c r="F24" s="21"/>
      <c r="G24" s="21"/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 t="str" cm="1">
        <f t="array" ref="I24">IFERROR(IF(ISNUMBER(INDEX(정량지표상세!$C$2:$C$24, MATCH(1, (정량지표상세!$A$2:$A$24=$A24) * (정량지표상세!$B$2:$B$24=I$2), 0))),
    SUMIFS(정량지표상세!$C$2:$C$24, 정량지표상세!$A$2:$A$24, $A24, 정량지표상세!$B$2:$B$24, I$2),
    INDEX(정량지표상세!$C$2:$C$24, MATCH(1, (정량지표상세!$A$2:$A$24=$A24) * (정량지표상세!$B$2:$B$24=I$2), 0))),"")</f>
        <v/>
      </c>
      <c r="J24" s="22" t="str" cm="1">
        <f t="array" ref="J24">IFERROR(IF(ISNUMBER(INDEX(정량지표상세!$C$2:$C$24, MATCH(1, (정량지표상세!$A$2:$A$24=$A24) * (정량지표상세!$B$2:$B$24=J$2), 0))),
    SUMIFS(정량지표상세!$C$2:$C$24, 정량지표상세!$A$2:$A$24, $A24, 정량지표상세!$B$2:$B$24, J$2),
    INDEX(정량지표상세!$C$2:$C$24, MATCH(1, (정량지표상세!$A$2:$A$24=$A24) * (정량지표상세!$B$2:$B$24=J$2), 0))),"")</f>
        <v/>
      </c>
      <c r="K24" s="23" t="str">
        <f t="shared" si="3"/>
        <v/>
      </c>
      <c r="L24" s="23" t="str">
        <f t="shared" si="4"/>
        <v/>
      </c>
      <c r="M24" s="23" t="str">
        <f t="shared" si="5"/>
        <v/>
      </c>
    </row>
    <row r="25" spans="1:13" x14ac:dyDescent="0.4">
      <c r="A25" s="21"/>
      <c r="B25" s="21"/>
      <c r="C25" s="21"/>
      <c r="D25" s="21"/>
      <c r="E25" s="21"/>
      <c r="F25" s="21"/>
      <c r="G25" s="21"/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 t="str" cm="1">
        <f t="array" ref="I25">IFERROR(IF(ISNUMBER(INDEX(정량지표상세!$C$2:$C$24, MATCH(1, (정량지표상세!$A$2:$A$24=$A25) * (정량지표상세!$B$2:$B$24=I$2), 0))),
    SUMIFS(정량지표상세!$C$2:$C$24, 정량지표상세!$A$2:$A$24, $A25, 정량지표상세!$B$2:$B$24, I$2),
    INDEX(정량지표상세!$C$2:$C$24, MATCH(1, (정량지표상세!$A$2:$A$24=$A25) * (정량지표상세!$B$2:$B$24=I$2), 0))),"")</f>
        <v/>
      </c>
      <c r="J25" s="22" t="str" cm="1">
        <f t="array" ref="J25">IFERROR(IF(ISNUMBER(INDEX(정량지표상세!$C$2:$C$24, MATCH(1, (정량지표상세!$A$2:$A$24=$A25) * (정량지표상세!$B$2:$B$24=J$2), 0))),
    SUMIFS(정량지표상세!$C$2:$C$24, 정량지표상세!$A$2:$A$24, $A25, 정량지표상세!$B$2:$B$24, J$2),
    INDEX(정량지표상세!$C$2:$C$24, MATCH(1, (정량지표상세!$A$2:$A$24=$A25) * (정량지표상세!$B$2:$B$24=J$2), 0))),"")</f>
        <v/>
      </c>
      <c r="K25" s="23" t="str">
        <f t="shared" si="3"/>
        <v/>
      </c>
      <c r="L25" s="23" t="str">
        <f t="shared" si="4"/>
        <v/>
      </c>
      <c r="M25" s="23" t="str">
        <f t="shared" si="5"/>
        <v/>
      </c>
    </row>
    <row r="26" spans="1:13" x14ac:dyDescent="0.4">
      <c r="A26" s="21"/>
      <c r="B26" s="21"/>
      <c r="C26" s="21"/>
      <c r="D26" s="21"/>
      <c r="E26" s="21"/>
      <c r="F26" s="21"/>
      <c r="G26" s="21"/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 t="str" cm="1">
        <f t="array" ref="I26">IFERROR(IF(ISNUMBER(INDEX(정량지표상세!$C$2:$C$24, MATCH(1, (정량지표상세!$A$2:$A$24=$A26) * (정량지표상세!$B$2:$B$24=I$2), 0))),
    SUMIFS(정량지표상세!$C$2:$C$24, 정량지표상세!$A$2:$A$24, $A26, 정량지표상세!$B$2:$B$24, I$2),
    INDEX(정량지표상세!$C$2:$C$24, MATCH(1, (정량지표상세!$A$2:$A$24=$A26) * (정량지표상세!$B$2:$B$24=I$2), 0))),"")</f>
        <v/>
      </c>
      <c r="J26" s="22" t="str" cm="1">
        <f t="array" ref="J26">IFERROR(IF(ISNUMBER(INDEX(정량지표상세!$C$2:$C$24, MATCH(1, (정량지표상세!$A$2:$A$24=$A26) * (정량지표상세!$B$2:$B$24=J$2), 0))),
    SUMIFS(정량지표상세!$C$2:$C$24, 정량지표상세!$A$2:$A$24, $A26, 정량지표상세!$B$2:$B$24, J$2),
    INDEX(정량지표상세!$C$2:$C$24, MATCH(1, (정량지표상세!$A$2:$A$24=$A26) * (정량지표상세!$B$2:$B$24=J$2), 0))),"")</f>
        <v/>
      </c>
      <c r="K26" s="23" t="str">
        <f t="shared" si="3"/>
        <v/>
      </c>
      <c r="L26" s="23" t="str">
        <f t="shared" si="4"/>
        <v/>
      </c>
      <c r="M26" s="23" t="str">
        <f t="shared" si="5"/>
        <v/>
      </c>
    </row>
    <row r="27" spans="1:13" x14ac:dyDescent="0.4">
      <c r="A27" s="21"/>
      <c r="B27" s="21"/>
      <c r="C27" s="21"/>
      <c r="D27" s="21"/>
      <c r="E27" s="21"/>
      <c r="F27" s="21"/>
      <c r="G27" s="21"/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 t="str" cm="1">
        <f t="array" ref="I27">IFERROR(IF(ISNUMBER(INDEX(정량지표상세!$C$2:$C$24, MATCH(1, (정량지표상세!$A$2:$A$24=$A27) * (정량지표상세!$B$2:$B$24=I$2), 0))),
    SUMIFS(정량지표상세!$C$2:$C$24, 정량지표상세!$A$2:$A$24, $A27, 정량지표상세!$B$2:$B$24, I$2),
    INDEX(정량지표상세!$C$2:$C$24, MATCH(1, (정량지표상세!$A$2:$A$24=$A27) * (정량지표상세!$B$2:$B$24=I$2), 0))),"")</f>
        <v/>
      </c>
      <c r="J27" s="22" t="str" cm="1">
        <f t="array" ref="J27">IFERROR(IF(ISNUMBER(INDEX(정량지표상세!$C$2:$C$24, MATCH(1, (정량지표상세!$A$2:$A$24=$A27) * (정량지표상세!$B$2:$B$24=J$2), 0))),
    SUMIFS(정량지표상세!$C$2:$C$24, 정량지표상세!$A$2:$A$24, $A27, 정량지표상세!$B$2:$B$24, J$2),
    INDEX(정량지표상세!$C$2:$C$24, MATCH(1, (정량지표상세!$A$2:$A$24=$A27) * (정량지표상세!$B$2:$B$24=J$2), 0))),"")</f>
        <v/>
      </c>
      <c r="K27" s="23" t="str">
        <f t="shared" si="3"/>
        <v/>
      </c>
      <c r="L27" s="23" t="str">
        <f t="shared" si="4"/>
        <v/>
      </c>
      <c r="M27" s="23" t="str">
        <f t="shared" si="5"/>
        <v/>
      </c>
    </row>
    <row r="28" spans="1:13" x14ac:dyDescent="0.4">
      <c r="A28" s="21"/>
      <c r="B28" s="21"/>
      <c r="C28" s="21"/>
      <c r="D28" s="21"/>
      <c r="E28" s="21"/>
      <c r="F28" s="21"/>
      <c r="G28" s="21"/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 t="str" cm="1">
        <f t="array" ref="I28">IFERROR(IF(ISNUMBER(INDEX(정량지표상세!$C$2:$C$24, MATCH(1, (정량지표상세!$A$2:$A$24=$A28) * (정량지표상세!$B$2:$B$24=I$2), 0))),
    SUMIFS(정량지표상세!$C$2:$C$24, 정량지표상세!$A$2:$A$24, $A28, 정량지표상세!$B$2:$B$24, I$2),
    INDEX(정량지표상세!$C$2:$C$24, MATCH(1, (정량지표상세!$A$2:$A$24=$A28) * (정량지표상세!$B$2:$B$24=I$2), 0))),"")</f>
        <v/>
      </c>
      <c r="J28" s="22" t="str" cm="1">
        <f t="array" ref="J28">IFERROR(IF(ISNUMBER(INDEX(정량지표상세!$C$2:$C$24, MATCH(1, (정량지표상세!$A$2:$A$24=$A28) * (정량지표상세!$B$2:$B$24=J$2), 0))),
    SUMIFS(정량지표상세!$C$2:$C$24, 정량지표상세!$A$2:$A$24, $A28, 정량지표상세!$B$2:$B$24, J$2),
    INDEX(정량지표상세!$C$2:$C$24, MATCH(1, (정량지표상세!$A$2:$A$24=$A28) * (정량지표상세!$B$2:$B$24=J$2), 0))),"")</f>
        <v/>
      </c>
      <c r="K28" s="23" t="str">
        <f t="shared" si="3"/>
        <v/>
      </c>
      <c r="L28" s="23" t="str">
        <f t="shared" si="4"/>
        <v/>
      </c>
      <c r="M28" s="23" t="str">
        <f t="shared" si="5"/>
        <v/>
      </c>
    </row>
    <row r="29" spans="1:13" x14ac:dyDescent="0.4">
      <c r="A29" s="21"/>
      <c r="B29" s="21"/>
      <c r="C29" s="21"/>
      <c r="D29" s="21"/>
      <c r="E29" s="21"/>
      <c r="F29" s="21"/>
      <c r="G29" s="21"/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 t="str" cm="1">
        <f t="array" ref="I29">IFERROR(IF(ISNUMBER(INDEX(정량지표상세!$C$2:$C$24, MATCH(1, (정량지표상세!$A$2:$A$24=$A29) * (정량지표상세!$B$2:$B$24=I$2), 0))),
    SUMIFS(정량지표상세!$C$2:$C$24, 정량지표상세!$A$2:$A$24, $A29, 정량지표상세!$B$2:$B$24, I$2),
    INDEX(정량지표상세!$C$2:$C$24, MATCH(1, (정량지표상세!$A$2:$A$24=$A29) * (정량지표상세!$B$2:$B$24=I$2), 0))),"")</f>
        <v/>
      </c>
      <c r="J29" s="22" t="str" cm="1">
        <f t="array" ref="J29">IFERROR(IF(ISNUMBER(INDEX(정량지표상세!$C$2:$C$24, MATCH(1, (정량지표상세!$A$2:$A$24=$A29) * (정량지표상세!$B$2:$B$24=J$2), 0))),
    SUMIFS(정량지표상세!$C$2:$C$24, 정량지표상세!$A$2:$A$24, $A29, 정량지표상세!$B$2:$B$24, J$2),
    INDEX(정량지표상세!$C$2:$C$24, MATCH(1, (정량지표상세!$A$2:$A$24=$A29) * (정량지표상세!$B$2:$B$24=J$2), 0))),"")</f>
        <v/>
      </c>
      <c r="K29" s="23" t="str">
        <f t="shared" si="3"/>
        <v/>
      </c>
      <c r="L29" s="23" t="str">
        <f t="shared" si="4"/>
        <v/>
      </c>
      <c r="M29" s="23" t="str">
        <f t="shared" si="5"/>
        <v/>
      </c>
    </row>
    <row r="30" spans="1:13" x14ac:dyDescent="0.4">
      <c r="A30" s="21"/>
      <c r="B30" s="21"/>
      <c r="C30" s="21"/>
      <c r="D30" s="21"/>
      <c r="E30" s="21"/>
      <c r="F30" s="21"/>
      <c r="G30" s="21"/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 t="str" cm="1">
        <f t="array" ref="I30">IFERROR(IF(ISNUMBER(INDEX(정량지표상세!$C$2:$C$24, MATCH(1, (정량지표상세!$A$2:$A$24=$A30) * (정량지표상세!$B$2:$B$24=I$2), 0))),
    SUMIFS(정량지표상세!$C$2:$C$24, 정량지표상세!$A$2:$A$24, $A30, 정량지표상세!$B$2:$B$24, I$2),
    INDEX(정량지표상세!$C$2:$C$24, MATCH(1, (정량지표상세!$A$2:$A$24=$A30) * (정량지표상세!$B$2:$B$24=I$2), 0))),"")</f>
        <v/>
      </c>
      <c r="J30" s="22" t="str" cm="1">
        <f t="array" ref="J30">IFERROR(IF(ISNUMBER(INDEX(정량지표상세!$C$2:$C$24, MATCH(1, (정량지표상세!$A$2:$A$24=$A30) * (정량지표상세!$B$2:$B$24=J$2), 0))),
    SUMIFS(정량지표상세!$C$2:$C$24, 정량지표상세!$A$2:$A$24, $A30, 정량지표상세!$B$2:$B$24, J$2),
    INDEX(정량지표상세!$C$2:$C$24, MATCH(1, (정량지표상세!$A$2:$A$24=$A30) * (정량지표상세!$B$2:$B$24=J$2), 0))),"")</f>
        <v/>
      </c>
      <c r="K30" s="23" t="str">
        <f t="shared" si="3"/>
        <v/>
      </c>
      <c r="L30" s="23" t="str">
        <f t="shared" si="4"/>
        <v/>
      </c>
      <c r="M30" s="23" t="str">
        <f t="shared" si="5"/>
        <v/>
      </c>
    </row>
    <row r="31" spans="1:13" x14ac:dyDescent="0.4">
      <c r="A31" s="21" t="s">
        <v>14</v>
      </c>
      <c r="B31" s="21"/>
      <c r="C31" s="21"/>
      <c r="D31" s="21">
        <f>SUM(D3:D30)</f>
        <v>100</v>
      </c>
      <c r="E31" s="21"/>
      <c r="F31" s="21"/>
      <c r="G31" s="21"/>
      <c r="H31" s="22"/>
      <c r="I31" s="22"/>
      <c r="J31" s="22"/>
      <c r="K31" s="23" t="str">
        <f>IF(E31="","",
   IF(ISNUMBER(E31),
      IF(N(H31)/E31&gt;=1,"달성","미달성"),
      IF(E31=H31,"달성","미달성")
   )
)</f>
        <v/>
      </c>
      <c r="L31" s="23"/>
      <c r="M31" s="23" t="str">
        <f t="shared" ref="M31" si="6">IF(G31="","",
   IF(ISNUMBER(G31),
      IF(N(J31)/G31&gt;=1,"달성","미달성"),
      IF(G31=J31,"달성","미달성")
   )
)</f>
        <v/>
      </c>
    </row>
  </sheetData>
  <mergeCells count="7">
    <mergeCell ref="A1:A2"/>
    <mergeCell ref="B1:B2"/>
    <mergeCell ref="C1:C2"/>
    <mergeCell ref="D1:D2"/>
    <mergeCell ref="K1:M1"/>
    <mergeCell ref="H1:J1"/>
    <mergeCell ref="E1:G1"/>
  </mergeCells>
  <phoneticPr fontId="2" type="noConversion"/>
  <conditionalFormatting sqref="K3:M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H19" sqref="H19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22</v>
      </c>
      <c r="B1" s="16" t="s">
        <v>15</v>
      </c>
      <c r="C1" s="16" t="s">
        <v>16</v>
      </c>
      <c r="D1" s="16" t="s">
        <v>12</v>
      </c>
    </row>
    <row r="2" spans="1:4" ht="21.6" x14ac:dyDescent="0.4">
      <c r="A2" s="18" t="s">
        <v>101</v>
      </c>
      <c r="B2" s="18" t="s">
        <v>69</v>
      </c>
      <c r="C2" s="18">
        <v>1</v>
      </c>
      <c r="D2" s="18" t="s">
        <v>21</v>
      </c>
    </row>
    <row r="3" spans="1:4" ht="21.6" x14ac:dyDescent="0.4">
      <c r="A3" s="18" t="s">
        <v>104</v>
      </c>
      <c r="B3" s="18" t="s">
        <v>69</v>
      </c>
      <c r="C3" s="18">
        <v>1</v>
      </c>
      <c r="D3" s="18" t="s">
        <v>21</v>
      </c>
    </row>
    <row r="4" spans="1:4" ht="21.6" x14ac:dyDescent="0.4">
      <c r="A4" s="18" t="s">
        <v>105</v>
      </c>
      <c r="B4" s="18" t="s">
        <v>70</v>
      </c>
      <c r="C4" s="18">
        <v>1</v>
      </c>
      <c r="D4" s="18" t="s">
        <v>21</v>
      </c>
    </row>
    <row r="5" spans="1:4" ht="21.6" x14ac:dyDescent="0.4">
      <c r="A5" s="18" t="s">
        <v>108</v>
      </c>
      <c r="B5" s="18" t="s">
        <v>68</v>
      </c>
      <c r="C5" s="18">
        <v>2</v>
      </c>
      <c r="D5" s="18" t="s">
        <v>21</v>
      </c>
    </row>
    <row r="6" spans="1:4" ht="21.6" x14ac:dyDescent="0.4">
      <c r="A6" s="18" t="s">
        <v>108</v>
      </c>
      <c r="B6" s="18" t="s">
        <v>69</v>
      </c>
      <c r="C6" s="18">
        <v>1</v>
      </c>
      <c r="D6" s="18" t="s">
        <v>21</v>
      </c>
    </row>
    <row r="7" spans="1:4" ht="21.6" x14ac:dyDescent="0.4">
      <c r="A7" s="18" t="s">
        <v>109</v>
      </c>
      <c r="B7" s="18" t="s">
        <v>69</v>
      </c>
      <c r="C7" s="18">
        <v>370</v>
      </c>
      <c r="D7" s="18" t="s">
        <v>21</v>
      </c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745AB-CA09-4558-B769-BE258C5390AD}">
  <dimension ref="A1:C3"/>
  <sheetViews>
    <sheetView tabSelected="1" workbookViewId="0">
      <selection activeCell="I30" sqref="H30:I30"/>
    </sheetView>
  </sheetViews>
  <sheetFormatPr defaultRowHeight="17.399999999999999" x14ac:dyDescent="0.4"/>
  <cols>
    <col min="1" max="1" width="11.09765625" bestFit="1" customWidth="1"/>
  </cols>
  <sheetData>
    <row r="1" spans="1:3" x14ac:dyDescent="0.4">
      <c r="A1" t="s">
        <v>114</v>
      </c>
      <c r="B1" t="s">
        <v>115</v>
      </c>
      <c r="C1" t="s">
        <v>116</v>
      </c>
    </row>
    <row r="2" spans="1:3" x14ac:dyDescent="0.4">
      <c r="A2" s="24">
        <v>46205</v>
      </c>
      <c r="B2" t="s">
        <v>117</v>
      </c>
      <c r="C2" t="s">
        <v>118</v>
      </c>
    </row>
    <row r="3" spans="1:3" x14ac:dyDescent="0.4">
      <c r="A3" s="24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마일스톤</vt:lpstr>
      <vt:lpstr>정량지표</vt:lpstr>
      <vt:lpstr>정량지표상세</vt:lpstr>
      <vt:lpstr>진행상황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2026-07-02T04:27:59Z</dcterms:modified>
  <cp:category/>
  <cp:contentStatus/>
</cp:coreProperties>
</file>