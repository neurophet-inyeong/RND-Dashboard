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E7817660-9AF7-4E5E-A32E-94A8E2CF9FD4}" xr6:coauthVersionLast="47" xr6:coauthVersionMax="47" xr10:uidLastSave="{00000000-0000-0000-0000-000000000000}"/>
  <bookViews>
    <workbookView xWindow="28680" yWindow="-120" windowWidth="29040" windowHeight="15720" activeTab="3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externalReferences>
    <externalReference r:id="rId6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O7" i="3"/>
  <c r="N7" i="3"/>
  <c r="I7" i="3"/>
  <c r="H7" i="3"/>
  <c r="G7" i="3"/>
  <c r="F7" i="3"/>
  <c r="L6" i="3"/>
  <c r="K6" i="3"/>
  <c r="E6" i="3" s="1" a="1"/>
  <c r="E6" i="3" s="1"/>
  <c r="D6" i="3"/>
  <c r="L5" i="3"/>
  <c r="K5" i="3"/>
  <c r="E5" i="3" s="1" a="1"/>
  <c r="E5" i="3" s="1"/>
  <c r="J5" i="3"/>
  <c r="D5" i="3"/>
  <c r="L4" i="3"/>
  <c r="K4" i="3"/>
  <c r="J4" i="3"/>
  <c r="D4" i="3"/>
  <c r="L3" i="3"/>
  <c r="K3" i="3"/>
  <c r="J3" i="3"/>
  <c r="D3" i="3"/>
  <c r="L2" i="3"/>
  <c r="K2" i="3"/>
  <c r="E2" i="3" s="1" a="1"/>
  <c r="E2" i="3" s="1"/>
  <c r="J2" i="3"/>
  <c r="D2" i="3"/>
  <c r="D7" i="3" s="1"/>
  <c r="K7" i="3" l="1"/>
  <c r="E7" i="3" s="1" a="1"/>
  <c r="E7" i="3" s="1"/>
  <c r="M6" i="3"/>
  <c r="E3" i="3" a="1"/>
  <c r="E3" i="3" s="1"/>
  <c r="J7" i="3"/>
  <c r="M3" i="3"/>
  <c r="M2" i="3"/>
  <c r="M4" i="3"/>
  <c r="E4" i="3" a="1"/>
  <c r="E4" i="3" s="1"/>
  <c r="M5" i="3"/>
  <c r="M7" i="3" s="1"/>
  <c r="L7" i="3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<sst xmlns="http://schemas.openxmlformats.org/spreadsheetml/2006/main" count="224" uniqueCount="110">
  <si>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</si>
  <si>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</si>
  <si>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</si>
  <si>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</si>
  <si>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</si>
  <si>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</si>
  <si>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</si>
  <si>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</si>
  <si>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</si>
  <si>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</si>
  <si>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</si>
  <si>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</si>
  <si>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</si>
  <si>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</si>
  <si>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</si>
  <si>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</si>
  <si>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</si>
  <si>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</si>
  <si>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</si>
  <si>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</si>
  <si>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</si>
  <si>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</si>
  <si>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</si>
  <si>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</si>
  <si>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</si>
  <si>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</si>
  <si>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</si>
  <si>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</si>
  <si>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</si>
  <si>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</si>
  <si>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</si>
  <si>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</si>
  <si>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</si>
  <si>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</si>
  <si>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</si>
  <si>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</si>
  <si>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</si>
  <si>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</si>
  <si>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</si>
  <si>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</si>
  <si>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</si>
  <si>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</si>
  <si>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</si>
  <si>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</si>
  <si>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총합</t>
    <phoneticPr fontId="3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</si>
  <si>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</si>
  <si>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</si>
  <si>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</si>
  <si>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</si>
  <si>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</si>
  <si>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</si>
  <si>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</si>
  <si>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2022-04-01 - 2025-12-31</t>
  </si>
  <si>
    <t>종료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</si>
  <si>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</si>
  <si>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</si>
  <si>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</si>
  <si>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</si>
  <si>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</si>
  <si>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</si>
  <si>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</si>
  <si>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</si>
  <si>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</si>
  <si>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</si>
  <si>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</si>
  <si>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</si>
  <si>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</si>
  <si>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</si>
  <si>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</si>
  <si>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</si>
  <si>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</si>
  <si>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</si>
  <si>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</si>
  <si>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</si>
  <si>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</si>
  <si>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</si>
  <si>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</si>
  <si>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</si>
  <si>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</si>
  <si>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</si>
  <si>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</si>
  <si>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</si>
  <si>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</si>
  <si>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</si>
  <si>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</si>
  <si>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</si>
  <si>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</si>
  <si>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</si>
  <si>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</si>
  <si>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</si>
  <si>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</si>
  <si>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</si>
  <si>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</si>
  <si>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</si>
  <si>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3" type="noConversion"/>
  </si>
  <si>
    <t>2단계 2연차</t>
    <phoneticPr fontId="3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</si>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</sst>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97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  <xf numFmtId="0" fontId="12" fillId="7" borderId="18" xfId="0" applyFont="1" applyFill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18" xfId="0" applyFont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5" fillId="0" borderId="0" xfId="0" applyFont="1">
      <alignment vertical="center"/>
    </xf>
    <xf numFmtId="0" fontId="14" fillId="6" borderId="17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9" fontId="14" fillId="0" borderId="15" xfId="2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9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workbookViewId="0">
      <selection activeCell="B8" sqref="B8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45</v>
      </c>
    </row>
    <row r="2" spans="1:27" ht="15" customHeight="1">
      <c r="A2" s="1" t="s">
        <v>16</v>
      </c>
      <c r="B2" s="2" t="s">
        <v>46</v>
      </c>
    </row>
    <row r="3" spans="1:27" ht="15" customHeight="1">
      <c r="A3" s="1" t="s">
        <v>17</v>
      </c>
      <c r="B3" s="2" t="s">
        <v>47</v>
      </c>
    </row>
    <row r="4" spans="1:27" ht="15" customHeight="1">
      <c r="A4" s="1" t="s">
        <v>18</v>
      </c>
      <c r="B4" s="2" t="s">
        <v>48</v>
      </c>
      <c r="E4" s="2"/>
      <c r="F4" s="2"/>
      <c r="G4" s="2"/>
      <c r="Z4" s="2">
        <f>사업비!M4*0.4</f>
        <v>26666800</v>
      </c>
    </row>
    <row r="5" spans="1:27" ht="15" customHeight="1">
      <c r="A5" s="1" t="s">
        <v>19</v>
      </c>
      <c r="B5" s="2" t="s">
        <v>49</v>
      </c>
      <c r="E5" s="2"/>
      <c r="F5" s="2"/>
      <c r="G5" s="2"/>
    </row>
    <row r="6" spans="1:27" ht="15" customHeight="1">
      <c r="A6" s="1" t="s">
        <v>20</v>
      </c>
      <c r="B6" s="2" t="s">
        <v>50</v>
      </c>
      <c r="E6" s="2"/>
      <c r="F6" s="2"/>
      <c r="G6" s="2"/>
    </row>
    <row r="7" spans="1:27" ht="15" customHeight="1">
      <c r="A7" s="1" t="s">
        <v>21</v>
      </c>
      <c r="B7" s="2" t="s">
        <v>51</v>
      </c>
      <c r="E7" s="2"/>
      <c r="F7" s="2"/>
      <c r="G7" s="2"/>
    </row>
    <row r="8" spans="1:27" ht="15" customHeight="1">
      <c r="A8" s="1" t="s">
        <v>22</v>
      </c>
      <c r="B8" s="22" t="s">
        <v>52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53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 t="s">
        <v>53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 t="s">
        <v>54</v>
      </c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 t="s">
        <v>55</v>
      </c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44558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/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ht="15" customHeight="1">
      <c r="C16" s="23"/>
      <c r="D16" s="23"/>
      <c r="E16" s="30"/>
      <c r="H16" s="2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>
      <c r="B17" s="23"/>
      <c r="C17" s="23"/>
      <c r="D17" s="23"/>
      <c r="E17" s="30"/>
      <c r="H17" s="23"/>
    </row>
    <row r="20" spans="2:23" s="4" customFormat="1" ht="15" customHeight="1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>
      <c r="C27" s="31"/>
    </row>
    <row r="28" spans="2:23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showZeros="0" workbookViewId="0">
      <selection activeCell="F25" sqref="F25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>
    <row r="1" spans="1:15" ht="21.6">
      <c r="A1" s="6" t="s">
        <v>1</v>
      </c>
      <c r="B1" s="7" t="s">
        <v>2</v>
      </c>
      <c r="C1" s="7" t="s">
        <v>3</v>
      </c>
      <c r="D1" s="7" t="s">
        <v>4</v>
      </c>
      <c r="E1" s="8" t="s">
        <v>5</v>
      </c>
      <c r="F1" s="8" t="s">
        <v>6</v>
      </c>
      <c r="G1" s="8" t="s">
        <v>7</v>
      </c>
      <c r="H1" s="9" t="s">
        <v>8</v>
      </c>
      <c r="I1" s="10" t="s">
        <v>9</v>
      </c>
      <c r="J1" s="11" t="s">
        <v>10</v>
      </c>
      <c r="K1" s="11" t="s">
        <v>11</v>
      </c>
      <c r="L1" s="11" t="s">
        <v>12</v>
      </c>
      <c r="M1" s="12" t="s">
        <v>13</v>
      </c>
      <c r="N1" s="12" t="s">
        <v>14</v>
      </c>
      <c r="O1" s="13" t="s">
        <v>15</v>
      </c>
    </row>
    <row r="2" spans="1:15">
      <c r="A2" s="14" t="s">
        <v>56</v>
      </c>
      <c r="B2" s="15">
        <v>44652</v>
      </c>
      <c r="C2" s="15">
        <v>44926</v>
      </c>
      <c r="D2" s="50">
        <f>IF(B2="","",DATEDIF(B2,C2,"m")+1)</f>
        <v>9</v>
      </c>
      <c r="E2" s="80" cm="1">
        <f t="array" ref="E2">SUMPRODUCT(
  ($A$17:$A$51 = $K2) *
  ISNUMBER(MATCH($B$17:$B$51, {"인건비","연구활동비","연구재료비","연구시설장비비","연구수당"}, 0)) *
  $C$17:$C$51
)</f>
        <v>0</v>
      </c>
      <c r="F2" s="70">
        <v>40000000</v>
      </c>
      <c r="G2" s="42"/>
      <c r="H2" s="71">
        <v>1334000</v>
      </c>
      <c r="I2" s="43">
        <v>12000000</v>
      </c>
      <c r="J2" s="60">
        <f>H2+I2</f>
        <v>13334000</v>
      </c>
      <c r="K2" s="61">
        <f>SUM(F2,G2,H2)</f>
        <v>41334000</v>
      </c>
      <c r="L2" s="61">
        <f>I2</f>
        <v>12000000</v>
      </c>
      <c r="M2" s="62">
        <f>K2+L2</f>
        <v>53334000</v>
      </c>
      <c r="N2" s="16"/>
      <c r="O2" s="72"/>
    </row>
    <row r="3" spans="1:15">
      <c r="A3" s="73" t="s">
        <v>57</v>
      </c>
      <c r="B3" s="17">
        <v>44927</v>
      </c>
      <c r="C3" s="17">
        <v>45291</v>
      </c>
      <c r="D3" s="51">
        <f t="shared" ref="D3:D4" si="0">IF(B3="","",DATEDIF(B3,C3,"m")+1)</f>
        <v>12</v>
      </c>
      <c r="E3" s="65" cm="1">
        <f t="array" ref="E3">SUMPRODUCT(
  ($A$17:$A$51 = $K3) *
  ISNUMBER(MATCH($B$17:$B$51, {"인건비","연구활동비","연구재료비","연구시설장비비","연구수당"}, 0)) *
  $C$17:$C$51
)</f>
        <v>0</v>
      </c>
      <c r="F3" s="74">
        <v>50000000</v>
      </c>
      <c r="G3" s="75"/>
      <c r="H3" s="76">
        <v>1667000</v>
      </c>
      <c r="I3" s="2">
        <v>15000000</v>
      </c>
      <c r="J3" s="63">
        <f t="shared" ref="J3:J6" si="1">H3+I3</f>
        <v>16667000</v>
      </c>
      <c r="K3" s="64">
        <f t="shared" ref="K3:K5" si="2">SUM(F3,G3,H3)</f>
        <v>51667000</v>
      </c>
      <c r="L3" s="65">
        <f t="shared" ref="L3:L6" si="3">I3</f>
        <v>15000000</v>
      </c>
      <c r="M3" s="66">
        <f>K3+L3</f>
        <v>66667000</v>
      </c>
      <c r="N3" s="77"/>
      <c r="O3" s="78"/>
    </row>
    <row r="4" spans="1:15">
      <c r="A4" s="14" t="s">
        <v>58</v>
      </c>
      <c r="B4" s="15">
        <v>45292</v>
      </c>
      <c r="C4" s="15">
        <v>45657</v>
      </c>
      <c r="D4" s="50">
        <f t="shared" si="0"/>
        <v>12</v>
      </c>
      <c r="E4" s="80" cm="1">
        <f t="array" ref="E4">SUMPRODUCT(
  ($A$17:$A$51 = $K4) *
  ISNUMBER(MATCH($B$17:$B$51, {"인건비","연구활동비","연구재료비","연구시설장비비","연구수당"}, 0)) *
  $C$17:$C$51
)</f>
        <v>0</v>
      </c>
      <c r="F4" s="70">
        <v>50000000</v>
      </c>
      <c r="G4" s="42"/>
      <c r="H4" s="71">
        <v>1667000</v>
      </c>
      <c r="I4" s="43">
        <v>15000000</v>
      </c>
      <c r="J4" s="60">
        <f t="shared" si="1"/>
        <v>16667000</v>
      </c>
      <c r="K4" s="61">
        <f t="shared" si="2"/>
        <v>51667000</v>
      </c>
      <c r="L4" s="61">
        <f t="shared" si="3"/>
        <v>15000000</v>
      </c>
      <c r="M4" s="62">
        <f t="shared" ref="M4:M6" si="4">K4+L4</f>
        <v>66667000</v>
      </c>
      <c r="N4" s="16"/>
      <c r="O4" s="72"/>
    </row>
    <row r="5" spans="1:15">
      <c r="A5" s="73" t="s">
        <v>59</v>
      </c>
      <c r="B5" s="17">
        <v>45658</v>
      </c>
      <c r="C5" s="17">
        <v>46022</v>
      </c>
      <c r="D5" s="51">
        <f>IF(B5="","",DATEDIF(B5,C5,"m")+1)</f>
        <v>12</v>
      </c>
      <c r="E5" s="65" cm="1">
        <f t="array" ref="E5">SUMPRODUCT(
  ($A$17:$A$51 = $K5) *
  ISNUMBER(MATCH($B$17:$B$51, {"인건비","연구활동비","연구재료비","연구시설장비비","연구수당"}, 0)) *
  $C$17:$C$51
)</f>
        <v>0</v>
      </c>
      <c r="F5" s="74">
        <v>50000000</v>
      </c>
      <c r="G5" s="75"/>
      <c r="H5" s="79">
        <v>1667000</v>
      </c>
      <c r="I5" s="44">
        <v>15000000</v>
      </c>
      <c r="J5" s="67">
        <f t="shared" si="1"/>
        <v>16667000</v>
      </c>
      <c r="K5" s="64">
        <f t="shared" si="2"/>
        <v>51667000</v>
      </c>
      <c r="L5" s="65">
        <f t="shared" si="3"/>
        <v>15000000</v>
      </c>
      <c r="M5" s="66">
        <f t="shared" si="4"/>
        <v>66667000</v>
      </c>
      <c r="N5" s="77"/>
      <c r="O5" s="78"/>
    </row>
    <row r="6" spans="1:15">
      <c r="A6" s="45" t="s">
        <v>60</v>
      </c>
      <c r="B6" s="18">
        <v>46023</v>
      </c>
      <c r="C6" s="18">
        <v>46387</v>
      </c>
      <c r="D6" s="50">
        <f t="shared" ref="D6" si="5">IF(B6="","",DATEDIF(B6,C6,"m")+1)</f>
        <v>12</v>
      </c>
      <c r="E6" s="80" cm="1">
        <f t="array" ref="E6">SUMPRODUCT(
  ($A$17:$A$51 = $K6) *
  ISNUMBER(MATCH($B$17:$B$51, {"인건비","연구활동비","연구재료비","연구시설장비비","연구수당"}, 0)) *
  $C$17:$C$51
)</f>
        <v>0</v>
      </c>
      <c r="F6" s="46">
        <v>45000000</v>
      </c>
      <c r="G6" s="47"/>
      <c r="H6" s="48">
        <v>1500000</v>
      </c>
      <c r="I6" s="49">
        <v>13500000</v>
      </c>
      <c r="J6" s="68">
        <f t="shared" si="1"/>
        <v>15000000</v>
      </c>
      <c r="K6" s="69">
        <f>SUM(F6,G6,H6)</f>
        <v>46500000</v>
      </c>
      <c r="L6" s="61">
        <f t="shared" si="3"/>
        <v>13500000</v>
      </c>
      <c r="M6" s="62">
        <f t="shared" si="4"/>
        <v>60000000</v>
      </c>
      <c r="N6" s="16"/>
      <c r="O6" s="72"/>
    </row>
    <row r="7" spans="1:15">
      <c r="A7" s="19" t="s">
        <v>44</v>
      </c>
      <c r="B7" s="20"/>
      <c r="C7" s="21"/>
      <c r="D7" s="52">
        <f t="shared" ref="D7" si="6">SUM(D2:D6)</f>
        <v>57</v>
      </c>
      <c r="E7" s="53" cm="1">
        <f t="array" ref="E7">SUMPRODUCT(
  ($A$17:$A$51 = $K7) *
  ISNUMBER(MATCH($B$17:$B$51, {"인건비","연구활동비","연구재료비","연구시설장비비","연구수당"}, 0)) *
  $C$17:$C$51
)</f>
        <v>0</v>
      </c>
      <c r="F7" s="54">
        <f>SUM(F2:F6)</f>
        <v>235000000</v>
      </c>
      <c r="G7" s="52">
        <f>SUM(G2:G6)</f>
        <v>0</v>
      </c>
      <c r="H7" s="55">
        <f>SUM(H2:H6)</f>
        <v>7835000</v>
      </c>
      <c r="I7" s="56">
        <f>SUM(I2:I6)</f>
        <v>70500000</v>
      </c>
      <c r="J7" s="57">
        <f t="shared" ref="J7:K7" si="7">SUM(J2:J6)</f>
        <v>78335000</v>
      </c>
      <c r="K7" s="58">
        <f t="shared" si="7"/>
        <v>242835000</v>
      </c>
      <c r="L7" s="58">
        <f>SUM(L2:L6)</f>
        <v>70500000</v>
      </c>
      <c r="M7" s="59">
        <f t="shared" ref="M7" si="8">SUM(M2:M6)</f>
        <v>313335000</v>
      </c>
      <c r="N7" s="59">
        <f>SUM(N2:N6)</f>
        <v>0</v>
      </c>
      <c r="O7" s="81">
        <f>SUM(O2:O6)</f>
        <v>0</v>
      </c>
    </row>
  </sheetData>
  <sheetProtection sheet="1" objects="1" scenarios="1"/>
  <phoneticPr fontId="3" type="noConversion"/>
  <pageMargins left="0.7" right="0.7" top="0.75" bottom="0.75" header="0.3" footer="0.3"/>
  <ignoredErrors>
    <ignoredError sqref="D6:E6 D7 E7:M7 N7:O7 D2:E2 J2:M2 D3:E5 J3:M5 G2 G3:G5 G6 J6:M6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1" sqref="B1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82" t="s">
        <v>29</v>
      </c>
      <c r="E1" s="82"/>
      <c r="F1" s="83" t="s">
        <v>30</v>
      </c>
      <c r="G1" s="83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61</v>
      </c>
      <c r="C3" s="35" t="s">
        <v>59</v>
      </c>
      <c r="D3" s="35">
        <v>45658</v>
      </c>
      <c r="E3" s="35">
        <v>45747</v>
      </c>
      <c r="F3" s="35">
        <v>45658</v>
      </c>
      <c r="G3" s="35">
        <v>45747</v>
      </c>
    </row>
    <row r="4" spans="1:7">
      <c r="A4" s="41">
        <f>IF(B4&lt;&gt;"",SUBTOTAL(3,$B$3:B4),"")</f>
        <v>2</v>
      </c>
      <c r="B4" s="38" t="s">
        <v>62</v>
      </c>
      <c r="C4" s="35" t="s">
        <v>59</v>
      </c>
      <c r="D4" s="35">
        <v>45748</v>
      </c>
      <c r="E4" s="35">
        <v>45838</v>
      </c>
      <c r="F4" s="35">
        <v>45748</v>
      </c>
      <c r="G4" s="35">
        <v>45838</v>
      </c>
    </row>
    <row r="5" spans="1:7">
      <c r="A5" s="41">
        <f>IF(B5&lt;&gt;"",SUBTOTAL(3,$B$3:B5),"")</f>
        <v>3</v>
      </c>
      <c r="B5" s="38" t="s">
        <v>63</v>
      </c>
      <c r="C5" s="35" t="s">
        <v>59</v>
      </c>
      <c r="D5" s="35">
        <v>45839</v>
      </c>
      <c r="E5" s="35">
        <v>45961</v>
      </c>
      <c r="F5" s="35">
        <v>45839</v>
      </c>
      <c r="G5" s="35">
        <v>45961</v>
      </c>
    </row>
    <row r="6" spans="1:7">
      <c r="A6" s="41">
        <f>IF(B6&lt;&gt;"",SUBTOTAL(3,$B$3:B6),"")</f>
        <v>4</v>
      </c>
      <c r="B6" s="38" t="s">
        <v>64</v>
      </c>
      <c r="C6" s="35" t="s">
        <v>59</v>
      </c>
      <c r="D6" s="35">
        <v>45962</v>
      </c>
      <c r="E6" s="35">
        <v>46387</v>
      </c>
      <c r="F6" s="35">
        <v>45962</v>
      </c>
      <c r="G6" s="35"/>
    </row>
    <row r="7" spans="1:7">
      <c r="A7" s="41">
        <f>IF(B7&lt;&gt;"",SUBTOTAL(3,$B$3:B7),"")</f>
        <v>5</v>
      </c>
      <c r="B7" s="38" t="s">
        <v>65</v>
      </c>
      <c r="C7" s="35" t="s">
        <v>59</v>
      </c>
      <c r="D7" s="35">
        <v>45778</v>
      </c>
      <c r="E7" s="35">
        <v>46022</v>
      </c>
      <c r="F7" s="35">
        <v>45778</v>
      </c>
      <c r="G7" s="35">
        <v>46022</v>
      </c>
    </row>
    <row r="8" spans="1:7">
      <c r="A8" s="41">
        <f>IF(B8&lt;&gt;"",SUBTOTAL(3,$B$3:B8),"")</f>
        <v>6</v>
      </c>
      <c r="B8" s="39" t="s">
        <v>66</v>
      </c>
      <c r="C8" s="35" t="s">
        <v>59</v>
      </c>
      <c r="D8" s="35">
        <v>45658</v>
      </c>
      <c r="E8" s="35">
        <v>45777</v>
      </c>
      <c r="F8" s="35">
        <v>45658</v>
      </c>
      <c r="G8" s="35">
        <v>45777</v>
      </c>
    </row>
    <row r="9" spans="1:7">
      <c r="A9" s="41">
        <f>IF(B9&lt;&gt;"",SUBTOTAL(3,$B$3:B9),"")</f>
        <v>7</v>
      </c>
      <c r="B9" s="39" t="s">
        <v>67</v>
      </c>
      <c r="C9" s="35" t="s">
        <v>59</v>
      </c>
      <c r="D9" s="35">
        <v>45717</v>
      </c>
      <c r="E9" s="35">
        <v>45808</v>
      </c>
      <c r="F9" s="35">
        <v>45717</v>
      </c>
      <c r="G9" s="35">
        <v>45808</v>
      </c>
    </row>
    <row r="10" spans="1:7">
      <c r="A10" s="41">
        <f>IF(B10&lt;&gt;"",SUBTOTAL(3,$B$3:B10),"")</f>
        <v>8</v>
      </c>
      <c r="B10" s="38" t="s">
        <v>68</v>
      </c>
      <c r="C10" s="35" t="s">
        <v>59</v>
      </c>
      <c r="D10" s="35">
        <v>45778</v>
      </c>
      <c r="E10" s="35">
        <v>45961</v>
      </c>
      <c r="F10" s="35">
        <v>45778</v>
      </c>
      <c r="G10" s="35">
        <v>45961</v>
      </c>
    </row>
    <row r="11" spans="1:7">
      <c r="A11" s="41">
        <f>IF(B11&lt;&gt;"",SUBTOTAL(3,$B$3:B11),"")</f>
        <v>9</v>
      </c>
      <c r="B11" s="38" t="s">
        <v>69</v>
      </c>
      <c r="C11" s="35" t="s">
        <v>59</v>
      </c>
      <c r="D11" s="35">
        <v>45778</v>
      </c>
      <c r="E11" s="35">
        <v>45961</v>
      </c>
      <c r="F11" s="35">
        <v>45778</v>
      </c>
      <c r="G11" s="35">
        <v>45961</v>
      </c>
    </row>
    <row r="12" spans="1:7">
      <c r="A12" s="41">
        <f>IF(B12&lt;&gt;"",SUBTOTAL(3,$B$3:B12),"")</f>
        <v>10</v>
      </c>
      <c r="B12" s="38" t="s">
        <v>70</v>
      </c>
      <c r="C12" s="35" t="s">
        <v>59</v>
      </c>
      <c r="D12" s="35">
        <v>45901</v>
      </c>
      <c r="E12" s="35">
        <v>46022</v>
      </c>
      <c r="F12" s="35">
        <v>45901</v>
      </c>
      <c r="G12" s="35">
        <v>46022</v>
      </c>
    </row>
    <row r="13" spans="1:7">
      <c r="A13" s="41">
        <f>IF(B13&lt;&gt;"",SUBTOTAL(3,$B$3:B13),"")</f>
        <v>11</v>
      </c>
      <c r="B13" s="38" t="s">
        <v>71</v>
      </c>
      <c r="C13" s="35" t="s">
        <v>60</v>
      </c>
      <c r="D13" s="35">
        <v>46235</v>
      </c>
      <c r="E13" s="35">
        <v>46387</v>
      </c>
      <c r="F13" s="35"/>
      <c r="G13" s="35"/>
    </row>
    <row r="14" spans="1:7">
      <c r="A14" s="41">
        <f>IF(B14&lt;&gt;"",SUBTOTAL(3,$B$3:B14),"")</f>
        <v>12</v>
      </c>
      <c r="B14" s="38" t="s">
        <v>72</v>
      </c>
      <c r="C14" s="35" t="s">
        <v>60</v>
      </c>
      <c r="D14" s="35">
        <v>46235</v>
      </c>
      <c r="E14" s="35">
        <v>46387</v>
      </c>
      <c r="F14" s="35"/>
      <c r="G14" s="35"/>
    </row>
    <row r="15" spans="1:7">
      <c r="A15" s="41">
        <f>IF(B15&lt;&gt;"",SUBTOTAL(3,$B$3:B15),"")</f>
        <v>13</v>
      </c>
      <c r="B15" s="38" t="s">
        <v>73</v>
      </c>
      <c r="C15" s="35" t="s">
        <v>60</v>
      </c>
      <c r="D15" s="35">
        <v>46174</v>
      </c>
      <c r="E15" s="35">
        <v>46387</v>
      </c>
      <c r="F15" s="35"/>
      <c r="G15" s="35"/>
    </row>
    <row r="16" spans="1:7">
      <c r="A16" s="41">
        <f>IF(B16&lt;&gt;"",SUBTOTAL(3,$B$3:B16),"")</f>
        <v>14</v>
      </c>
      <c r="B16" s="38" t="s">
        <v>74</v>
      </c>
      <c r="C16" s="35" t="s">
        <v>60</v>
      </c>
      <c r="D16" s="35">
        <v>46023</v>
      </c>
      <c r="E16" s="35">
        <v>46112</v>
      </c>
      <c r="F16" s="35"/>
      <c r="G16" s="35"/>
    </row>
    <row r="17" spans="1:7">
      <c r="A17" s="41">
        <f>IF(B17&lt;&gt;"",SUBTOTAL(3,$B$3:B17),"")</f>
        <v>15</v>
      </c>
      <c r="B17" s="40" t="s">
        <v>75</v>
      </c>
      <c r="C17" s="35" t="s">
        <v>60</v>
      </c>
      <c r="D17" s="35">
        <v>46023</v>
      </c>
      <c r="E17" s="35">
        <v>46112</v>
      </c>
      <c r="F17" s="35"/>
      <c r="G17" s="35"/>
    </row>
    <row r="18" spans="1:7">
      <c r="A18" s="41">
        <f>IF(B18&lt;&gt;"",SUBTOTAL(3,$B$3:B18),"")</f>
        <v>16</v>
      </c>
      <c r="B18" s="40" t="s">
        <v>76</v>
      </c>
      <c r="C18" s="35" t="s">
        <v>60</v>
      </c>
      <c r="D18" s="35">
        <v>46082</v>
      </c>
      <c r="E18" s="35">
        <v>46203</v>
      </c>
      <c r="F18" s="35"/>
      <c r="G18" s="35"/>
    </row>
    <row r="19" spans="1:7">
      <c r="A19" s="41">
        <f>IF(B19&lt;&gt;"",SUBTOTAL(3,$B$3:B19),"")</f>
        <v>17</v>
      </c>
      <c r="B19" s="40" t="s">
        <v>77</v>
      </c>
      <c r="C19" s="35" t="s">
        <v>60</v>
      </c>
      <c r="D19" s="35">
        <v>46174</v>
      </c>
      <c r="E19" s="35">
        <v>46387</v>
      </c>
      <c r="F19" s="35"/>
      <c r="G19" s="35"/>
    </row>
    <row r="20" spans="1:7">
      <c r="A20" s="41" t="str">
        <f>IF(B20&lt;&gt;"",SUBTOTAL(3,$B$3:B20),"")</f>
        <v/>
      </c>
      <c r="B20" s="40"/>
      <c r="C20" s="35"/>
      <c r="D20" s="35"/>
      <c r="E20" s="35"/>
      <c r="F20" s="35"/>
      <c r="G20" s="35"/>
    </row>
    <row r="21" spans="1:7">
      <c r="A21" s="41" t="str">
        <f>IF(B21&lt;&gt;"",SUBTOTAL(3,$B$3:B21),"")</f>
        <v/>
      </c>
      <c r="B21" s="40"/>
      <c r="C21" s="35"/>
      <c r="D21" s="35"/>
      <c r="E21" s="35"/>
      <c r="F21" s="35"/>
      <c r="G21" s="35"/>
    </row>
    <row r="22" spans="1:7">
      <c r="A22" s="41" t="str">
        <f>IF(B22&lt;&gt;"",SUBTOTAL(3,$B$3:B22),"")</f>
        <v/>
      </c>
      <c r="B22" s="40"/>
      <c r="C22" s="35"/>
      <c r="D22" s="35"/>
      <c r="E22" s="35"/>
      <c r="F22" s="35"/>
      <c r="G22" s="35"/>
    </row>
    <row r="23" spans="1:7">
      <c r="A23" s="41" t="str">
        <f>IF(B23&lt;&gt;"",SUBTOTAL(3,$B$3:B23),"")</f>
        <v/>
      </c>
      <c r="B23" s="40"/>
      <c r="C23" s="35"/>
      <c r="D23" s="35"/>
      <c r="E23" s="35"/>
      <c r="F23" s="35"/>
      <c r="G23" s="35"/>
    </row>
    <row r="24" spans="1:7">
      <c r="A24" s="41" t="str">
        <f>IF(B24&lt;&gt;"",SUBTOTAL(3,$B$3:B24),"")</f>
        <v/>
      </c>
      <c r="B24" s="40"/>
      <c r="C24" s="35"/>
      <c r="D24" s="35"/>
      <c r="E24" s="35"/>
      <c r="F24" s="35"/>
      <c r="G24" s="35"/>
    </row>
    <row r="25" spans="1:7">
      <c r="A25" s="41" t="str">
        <f>IF(B25&lt;&gt;"",SUBTOTAL(3,$B$3:B25),"")</f>
        <v/>
      </c>
      <c r="B25" s="40"/>
      <c r="C25" s="35"/>
      <c r="D25" s="35"/>
      <c r="E25" s="35"/>
      <c r="F25" s="35"/>
      <c r="G25" s="35"/>
    </row>
    <row r="26" spans="1:7">
      <c r="A26" s="41" t="str">
        <f>IF(B26&lt;&gt;"",SUBTOTAL(3,$B$3:B26),"")</f>
        <v/>
      </c>
      <c r="B26" s="40"/>
      <c r="C26" s="35"/>
      <c r="D26" s="35"/>
      <c r="E26" s="35"/>
      <c r="F26" s="35"/>
      <c r="G26" s="35"/>
    </row>
    <row r="27" spans="1:7">
      <c r="A27" s="41" t="str">
        <f>IF(B27&lt;&gt;"",SUBTOTAL(3,$B$3:B27),"")</f>
        <v/>
      </c>
      <c r="B27" s="40"/>
      <c r="C27" s="35"/>
      <c r="D27" s="35"/>
      <c r="E27" s="35"/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8" priority="1">
      <formula>OR($C3="2단계 3연차", $C3="3단계 3연차")</formula>
    </cfRule>
    <cfRule type="expression" dxfId="17" priority="2">
      <formula>OR($C3="2단계 2연차", $C3="3단계 2연차")</formula>
    </cfRule>
    <cfRule type="expression" dxfId="16" priority="3">
      <formula>OR($C3="2단계 1연차", $C3="3단계 1연차")</formula>
    </cfRule>
    <cfRule type="expression" dxfId="15" priority="4">
      <formula>OR($C3="0단계 3연차", $C3="1단계 3연차")</formula>
    </cfRule>
    <cfRule type="expression" dxfId="14" priority="5">
      <formula>OR($C3="0단계 2연차", $C3="1단계 2연차")</formula>
    </cfRule>
    <cfRule type="expression" dxfId="13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사업비!$A$2:$A$6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tabSelected="1" workbookViewId="0">
      <selection activeCell="A16" sqref="A16"/>
    </sheetView>
  </sheetViews>
  <sheetFormatPr defaultRowHeight="17.399999999999999"/>
  <cols>
    <col min="1" max="1" width="54.59765625" style="91" bestFit="1" customWidth="1"/>
    <col min="2" max="16384" width="8.796875" style="91"/>
  </cols>
  <sheetData>
    <row r="1" spans="1:10" ht="17.399999999999999" customHeight="1">
      <c r="A1" s="87" t="s">
        <v>34</v>
      </c>
      <c r="B1" s="87" t="s">
        <v>35</v>
      </c>
      <c r="C1" s="87" t="s">
        <v>36</v>
      </c>
      <c r="D1" s="87" t="s">
        <v>37</v>
      </c>
      <c r="E1" s="88" t="s">
        <v>43</v>
      </c>
      <c r="F1" s="89"/>
      <c r="G1" s="88" t="s">
        <v>42</v>
      </c>
      <c r="H1" s="89"/>
      <c r="I1" s="90" t="s">
        <v>39</v>
      </c>
      <c r="J1" s="90"/>
    </row>
    <row r="2" spans="1:10">
      <c r="A2" s="92"/>
      <c r="B2" s="92"/>
      <c r="C2" s="92"/>
      <c r="D2" s="92"/>
      <c r="E2" s="93" t="s">
        <v>94</v>
      </c>
      <c r="F2" s="93" t="s">
        <v>95</v>
      </c>
      <c r="G2" s="93" t="s">
        <v>58</v>
      </c>
      <c r="H2" s="93" t="s">
        <v>60</v>
      </c>
      <c r="I2" s="93" t="s">
        <v>58</v>
      </c>
      <c r="J2" s="93" t="s">
        <v>60</v>
      </c>
    </row>
    <row r="3" spans="1:10">
      <c r="A3" s="94" t="s">
        <v>78</v>
      </c>
      <c r="B3" s="94"/>
      <c r="C3" s="94" t="s">
        <v>92</v>
      </c>
      <c r="D3" s="94">
        <v>25</v>
      </c>
      <c r="E3" s="94">
        <v>3</v>
      </c>
      <c r="F3" s="94">
        <v>3</v>
      </c>
      <c r="G3" s="95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95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96" t="str">
        <f>IF(E3="","",
   IF(ISNUMBER(E3),
      IF(N(G3)/E3&gt;=1,"달성","미달성"),
      IF(E3=G3,"달성","미달성")
   )
)</f>
        <v>달성</v>
      </c>
      <c r="J3" s="96" t="str">
        <f>IF(F3="","",
   IF(ISNUMBER(F3),
      IF(N(H3)/F3&gt;=1,"달성","미달성"),
      IF(F3=H3,"달성","미달성")
   )
)</f>
        <v>미달성</v>
      </c>
    </row>
    <row r="4" spans="1:10">
      <c r="A4" s="94" t="s">
        <v>79</v>
      </c>
      <c r="B4" s="94"/>
      <c r="C4" s="94" t="s">
        <v>92</v>
      </c>
      <c r="D4" s="94">
        <v>15</v>
      </c>
      <c r="E4" s="94">
        <v>1</v>
      </c>
      <c r="F4" s="94">
        <v>2</v>
      </c>
      <c r="G4" s="95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95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96" t="str">
        <f>IF(E4="","",
   IF(ISNUMBER(E4),
      IF(N(G4)/E4&gt;=1,"달성","미달성"),
      IF(E4=G4,"달성","미달성")
   )
)</f>
        <v>미달성</v>
      </c>
      <c r="J4" s="96" t="str">
        <f>IF(F4="","",
   IF(ISNUMBER(F4),
      IF(N(H4)/F4&gt;=1,"달성","미달성"),
      IF(F4=H4,"달성","미달성")
   )
)</f>
        <v>미달성</v>
      </c>
    </row>
    <row r="5" spans="1:10">
      <c r="A5" s="94" t="s">
        <v>80</v>
      </c>
      <c r="B5" s="94"/>
      <c r="C5" s="94" t="s">
        <v>92</v>
      </c>
      <c r="D5" s="94"/>
      <c r="E5" s="94"/>
      <c r="F5" s="94">
        <v>1</v>
      </c>
      <c r="G5" s="95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95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96" t="str">
        <f>IF(E5="","",
   IF(ISNUMBER(E5),
      IF(N(G5)/E5&gt;=1,"달성","미달성"),
      IF(E5=G5,"달성","미달성")
   )
)</f>
        <v/>
      </c>
      <c r="J5" s="96" t="str">
        <f>IF(F5="","",
   IF(ISNUMBER(F5),
      IF(N(H5)/F5&gt;=1,"달성","미달성"),
      IF(F5=H5,"달성","미달성")
   )
)</f>
        <v>미달성</v>
      </c>
    </row>
    <row r="6" spans="1:10">
      <c r="A6" s="94" t="s">
        <v>81</v>
      </c>
      <c r="B6" s="94"/>
      <c r="C6" s="94" t="s">
        <v>92</v>
      </c>
      <c r="D6" s="94">
        <v>1</v>
      </c>
      <c r="E6" s="94">
        <v>2</v>
      </c>
      <c r="F6" s="94">
        <v>2</v>
      </c>
      <c r="G6" s="95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95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96" t="str">
        <f>IF(E6="","",
   IF(ISNUMBER(E6),
      IF(N(G6)/E6&gt;=1,"달성","미달성"),
      IF(E6=G6,"달성","미달성")
   )
)</f>
        <v>미달성</v>
      </c>
      <c r="J6" s="96" t="str">
        <f>IF(F6="","",
   IF(ISNUMBER(F6),
      IF(N(H6)/F6&gt;=1,"달성","미달성"),
      IF(F6=H6,"달성","미달성")
   )
)</f>
        <v>미달성</v>
      </c>
    </row>
    <row r="7" spans="1:10">
      <c r="A7" s="94" t="s">
        <v>82</v>
      </c>
      <c r="B7" s="94"/>
      <c r="C7" s="94" t="s">
        <v>92</v>
      </c>
      <c r="D7" s="94"/>
      <c r="E7" s="94">
        <v>1</v>
      </c>
      <c r="F7" s="94">
        <v>3</v>
      </c>
      <c r="G7" s="95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95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96" t="str">
        <f>IF(E7="","",
   IF(ISNUMBER(E7),
      IF(N(G7)/E7&gt;=1,"달성","미달성"),
      IF(E7=G7,"달성","미달성")
   )
)</f>
        <v>미달성</v>
      </c>
      <c r="J7" s="96" t="str">
        <f>IF(F7="","",
   IF(ISNUMBER(F7),
      IF(N(H7)/F7&gt;=1,"달성","미달성"),
      IF(F7=H7,"달성","미달성")
   )
)</f>
        <v>미달성</v>
      </c>
    </row>
    <row r="8" spans="1:10">
      <c r="A8" s="94" t="s">
        <v>83</v>
      </c>
      <c r="B8" s="94"/>
      <c r="C8" s="94" t="s">
        <v>92</v>
      </c>
      <c r="D8" s="94"/>
      <c r="E8" s="94"/>
      <c r="F8" s="94"/>
      <c r="G8" s="95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95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96" t="str">
        <f>IF(E8="","",
   IF(ISNUMBER(E8),
      IF(N(G8)/E8&gt;=1,"달성","미달성"),
      IF(E8=G8,"달성","미달성")
   )
)</f>
        <v/>
      </c>
      <c r="J8" s="96" t="str">
        <f>IF(F8="","",
   IF(ISNUMBER(F8),
      IF(N(H8)/F8&gt;=1,"달성","미달성"),
      IF(F8=H8,"달성","미달성")
   )
)</f>
        <v/>
      </c>
    </row>
    <row r="9" spans="1:10">
      <c r="A9" s="94" t="s">
        <v>84</v>
      </c>
      <c r="B9" s="94"/>
      <c r="C9" s="94" t="s">
        <v>92</v>
      </c>
      <c r="D9" s="94"/>
      <c r="E9" s="94"/>
      <c r="F9" s="94">
        <v>4</v>
      </c>
      <c r="G9" s="95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95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96" t="str">
        <f>IF(E9="","",
   IF(ISNUMBER(E9),
      IF(N(G9)/E9&gt;=1,"달성","미달성"),
      IF(E9=G9,"달성","미달성")
   )
)</f>
        <v/>
      </c>
      <c r="J9" s="96" t="str">
        <f>IF(F9="","",
   IF(ISNUMBER(F9),
      IF(N(H9)/F9&gt;=1,"달성","미달성"),
      IF(F9=H9,"달성","미달성")
   )
)</f>
        <v>미달성</v>
      </c>
    </row>
    <row r="10" spans="1:10">
      <c r="A10" s="94" t="s">
        <v>85</v>
      </c>
      <c r="B10" s="94"/>
      <c r="C10" s="94" t="s">
        <v>92</v>
      </c>
      <c r="D10" s="94"/>
      <c r="E10" s="94"/>
      <c r="F10" s="94">
        <v>4</v>
      </c>
      <c r="G10" s="95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95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96" t="str">
        <f>IF(E10="","",
   IF(ISNUMBER(E10),
      IF(N(G10)/E10&gt;=1,"달성","미달성"),
      IF(E10=G10,"달성","미달성")
   )
)</f>
        <v/>
      </c>
      <c r="J10" s="96" t="str">
        <f>IF(F10="","",
   IF(ISNUMBER(F10),
      IF(N(H10)/F10&gt;=1,"달성","미달성"),
      IF(F10=H10,"달성","미달성")
   )
)</f>
        <v>미달성</v>
      </c>
    </row>
    <row r="11" spans="1:10">
      <c r="A11" s="94" t="s">
        <v>86</v>
      </c>
      <c r="B11" s="94"/>
      <c r="C11" s="94" t="s">
        <v>93</v>
      </c>
      <c r="D11" s="94">
        <v>15</v>
      </c>
      <c r="E11" s="94">
        <v>2</v>
      </c>
      <c r="F11" s="94">
        <v>4</v>
      </c>
      <c r="G11" s="95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95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96" t="str">
        <f>IF(E11="","",
   IF(ISNUMBER(E11),
      IF(N(G11)/E11&gt;=1,"달성","미달성"),
      IF(E11=G11,"달성","미달성")
   )
)</f>
        <v>미달성</v>
      </c>
      <c r="J11" s="96" t="str">
        <f>IF(F11="","",
   IF(ISNUMBER(F11),
      IF(N(H11)/F11&gt;=1,"달성","미달성"),
      IF(F11=H11,"달성","미달성")
   )
)</f>
        <v>미달성</v>
      </c>
    </row>
    <row r="12" spans="1:10">
      <c r="A12" s="94" t="s">
        <v>87</v>
      </c>
      <c r="B12" s="94"/>
      <c r="C12" s="94" t="s">
        <v>93</v>
      </c>
      <c r="D12" s="94"/>
      <c r="E12" s="94">
        <v>1</v>
      </c>
      <c r="F12" s="94"/>
      <c r="G12" s="95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95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96" t="str">
        <f>IF(E12="","",
   IF(ISNUMBER(E12),
      IF(N(G12)/E12&gt;=1,"달성","미달성"),
      IF(E12=G12,"달성","미달성")
   )
)</f>
        <v>미달성</v>
      </c>
      <c r="J12" s="96" t="str">
        <f>IF(F12="","",
   IF(ISNUMBER(F12),
      IF(N(H12)/F12&gt;=1,"달성","미달성"),
      IF(F12=H12,"달성","미달성")
   )
)</f>
        <v/>
      </c>
    </row>
    <row r="13" spans="1:10">
      <c r="A13" s="94" t="s">
        <v>88</v>
      </c>
      <c r="B13" s="94"/>
      <c r="C13" s="94" t="s">
        <v>93</v>
      </c>
      <c r="D13" s="94"/>
      <c r="E13" s="94">
        <v>2</v>
      </c>
      <c r="F13" s="94"/>
      <c r="G13" s="95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95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96" t="str">
        <f>IF(E13="","",
   IF(ISNUMBER(E13),
      IF(N(G13)/E13&gt;=1,"달성","미달성"),
      IF(E13=G13,"달성","미달성")
   )
)</f>
        <v>미달성</v>
      </c>
      <c r="J13" s="96" t="str">
        <f>IF(F13="","",
   IF(ISNUMBER(F13),
      IF(N(H13)/F13&gt;=1,"달성","미달성"),
      IF(F13=H13,"달성","미달성")
   )
)</f>
        <v/>
      </c>
    </row>
    <row r="14" spans="1:10">
      <c r="A14" s="94" t="s">
        <v>89</v>
      </c>
      <c r="B14" s="94"/>
      <c r="C14" s="94" t="s">
        <v>93</v>
      </c>
      <c r="D14" s="94"/>
      <c r="E14" s="94">
        <v>8</v>
      </c>
      <c r="F14" s="94">
        <v>1</v>
      </c>
      <c r="G14" s="95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95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96"/>
      <c r="J14" s="96"/>
    </row>
    <row r="15" spans="1:10">
      <c r="A15" s="94" t="s">
        <v>90</v>
      </c>
      <c r="B15" s="94"/>
      <c r="C15" s="94" t="s">
        <v>93</v>
      </c>
      <c r="D15" s="94"/>
      <c r="E15" s="94"/>
      <c r="F15" s="94"/>
      <c r="G15" s="95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95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96"/>
      <c r="J15" s="96"/>
    </row>
    <row r="16" spans="1:10">
      <c r="A16" s="94" t="s">
        <v>91</v>
      </c>
      <c r="B16" s="94"/>
      <c r="C16" s="94" t="s">
        <v>93</v>
      </c>
      <c r="D16" s="94"/>
      <c r="E16" s="94">
        <v>1</v>
      </c>
      <c r="F16" s="94"/>
      <c r="G16" s="95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95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96"/>
      <c r="J16" s="96"/>
    </row>
    <row r="17" spans="1:10">
      <c r="A17" s="94"/>
      <c r="B17" s="94"/>
      <c r="C17" s="94"/>
      <c r="D17" s="94"/>
      <c r="E17" s="94"/>
      <c r="F17" s="94"/>
      <c r="G17" s="95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95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96"/>
      <c r="J17" s="96"/>
    </row>
    <row r="18" spans="1:10">
      <c r="A18" s="94"/>
      <c r="B18" s="94"/>
      <c r="C18" s="94"/>
      <c r="D18" s="94"/>
      <c r="E18" s="94"/>
      <c r="F18" s="94"/>
      <c r="G18" s="95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95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96"/>
      <c r="J18" s="96"/>
    </row>
    <row r="19" spans="1:10">
      <c r="A19" s="94"/>
      <c r="B19" s="94"/>
      <c r="C19" s="94"/>
      <c r="D19" s="94"/>
      <c r="E19" s="94"/>
      <c r="F19" s="94"/>
      <c r="G19" s="95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95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96"/>
      <c r="J19" s="96"/>
    </row>
    <row r="20" spans="1:10">
      <c r="A20" s="94"/>
      <c r="B20" s="94"/>
      <c r="C20" s="94"/>
      <c r="D20" s="94"/>
      <c r="E20" s="94"/>
      <c r="F20" s="94"/>
      <c r="G20" s="95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95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96"/>
      <c r="J20" s="96"/>
    </row>
    <row r="21" spans="1:10">
      <c r="A21" s="94"/>
      <c r="B21" s="94"/>
      <c r="C21" s="94"/>
      <c r="D21" s="94"/>
      <c r="E21" s="94"/>
      <c r="F21" s="94"/>
      <c r="G21" s="95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95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96" t="str">
        <f>IF(E21="","",
   IF(ISNUMBER(E21),
      IF(N(G21)/E21&gt;=1,"달성","미달성"),
      IF(E21=G21,"달성","미달성")
   )
)</f>
        <v/>
      </c>
      <c r="J21" s="96" t="str">
        <f>IF(F21="","",
   IF(ISNUMBER(F21),
      IF(N(H21)/F21&gt;=1,"달성","미달성"),
      IF(F21=H21,"달성","미달성")
   )
)</f>
        <v/>
      </c>
    </row>
    <row r="22" spans="1:10">
      <c r="A22" s="94"/>
      <c r="B22" s="94"/>
      <c r="C22" s="94"/>
      <c r="D22" s="94"/>
      <c r="E22" s="94"/>
      <c r="F22" s="94"/>
      <c r="G22" s="95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95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96" t="str">
        <f>IF(E22="","",
   IF(ISNUMBER(E22),
      IF(N(G22)/E22&gt;=1,"달성","미달성"),
      IF(E22=G22,"달성","미달성")
   )
)</f>
        <v/>
      </c>
      <c r="J22" s="96" t="str">
        <f>IF(F22="","",
   IF(ISNUMBER(F22),
      IF(N(H22)/F22&gt;=1,"달성","미달성"),
      IF(F22=H22,"달성","미달성")
   )
)</f>
        <v/>
      </c>
    </row>
    <row r="23" spans="1:10">
      <c r="A23" s="94"/>
      <c r="B23" s="94"/>
      <c r="C23" s="94"/>
      <c r="D23" s="94"/>
      <c r="E23" s="94"/>
      <c r="F23" s="94"/>
      <c r="G23" s="95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95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96"/>
      <c r="J23" s="96"/>
    </row>
    <row r="24" spans="1:10">
      <c r="A24" s="94"/>
      <c r="B24" s="94"/>
      <c r="C24" s="94"/>
      <c r="D24" s="94"/>
      <c r="E24" s="94"/>
      <c r="F24" s="94"/>
      <c r="G24" s="95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95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96"/>
      <c r="J24" s="96"/>
    </row>
    <row r="25" spans="1:10">
      <c r="A25" s="94"/>
      <c r="B25" s="94"/>
      <c r="C25" s="94"/>
      <c r="D25" s="94"/>
      <c r="E25" s="94"/>
      <c r="F25" s="94"/>
      <c r="G25" s="95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95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96"/>
      <c r="J25" s="96"/>
    </row>
    <row r="26" spans="1:10">
      <c r="A26" s="94"/>
      <c r="B26" s="94"/>
      <c r="C26" s="94"/>
      <c r="D26" s="94"/>
      <c r="E26" s="94"/>
      <c r="F26" s="94"/>
      <c r="G26" s="95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95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96"/>
      <c r="J26" s="96"/>
    </row>
    <row r="27" spans="1:10">
      <c r="A27" s="94"/>
      <c r="B27" s="94"/>
      <c r="C27" s="94"/>
      <c r="D27" s="94"/>
      <c r="E27" s="94"/>
      <c r="F27" s="94"/>
      <c r="G27" s="95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95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96" t="str">
        <f>IF(E27="","",
   IF(ISNUMBER(E27),
      IF(N(G27)/E27&gt;=1,"달성","미달성"),
      IF(E27=G27,"달성","미달성")
   )
)</f>
        <v/>
      </c>
      <c r="J27" s="96" t="str">
        <f>IF(F27="","",
   IF(ISNUMBER(F27),
      IF(N(H27)/F27&gt;=1,"달성","미달성"),
      IF(F27=H27,"달성","미달성")
   )
)</f>
        <v/>
      </c>
    </row>
    <row r="28" spans="1:10">
      <c r="A28" s="94"/>
      <c r="B28" s="94"/>
      <c r="C28" s="94"/>
      <c r="D28" s="94"/>
      <c r="E28" s="94"/>
      <c r="F28" s="94"/>
      <c r="G28" s="95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95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96" t="str">
        <f>IF(E28="","",
   IF(ISNUMBER(E28),
      IF(N(G28)/E28&gt;=1,"달성","미달성"),
      IF(E28=G28,"달성","미달성")
   )
)</f>
        <v/>
      </c>
      <c r="J28" s="96" t="str">
        <f>IF(F28="","",
   IF(ISNUMBER(F28),
      IF(N(H28)/F28&gt;=1,"달성","미달성"),
      IF(F28=H28,"달성","미달성")
   )
)</f>
        <v/>
      </c>
    </row>
    <row r="29" spans="1:10">
      <c r="A29" s="94"/>
      <c r="B29" s="94"/>
      <c r="C29" s="94"/>
      <c r="D29" s="94"/>
      <c r="E29" s="94"/>
      <c r="F29" s="94"/>
      <c r="G29" s="95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95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96" t="str">
        <f>IF(E29="","",
   IF(ISNUMBER(E29),
      IF(N(G29)/E29&gt;=1,"달성","미달성"),
      IF(E29=G29,"달성","미달성")
   )
)</f>
        <v/>
      </c>
      <c r="J29" s="96" t="str">
        <f>IF(F29="","",
   IF(ISNUMBER(F29),
      IF(N(H29)/F29&gt;=1,"달성","미달성"),
      IF(F29=H29,"달성","미달성")
   )
)</f>
        <v/>
      </c>
    </row>
    <row r="30" spans="1:10">
      <c r="A30" s="94"/>
      <c r="B30" s="94"/>
      <c r="C30" s="94"/>
      <c r="D30" s="94"/>
      <c r="E30" s="94"/>
      <c r="F30" s="94"/>
      <c r="G30" s="95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95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96" t="str">
        <f>IF(E30="","",
   IF(ISNUMBER(E30),
      IF(N(G30)/E30&gt;=1,"달성","미달성"),
      IF(E30=G30,"달성","미달성")
   )
)</f>
        <v/>
      </c>
      <c r="J30" s="96" t="str">
        <f>IF(F30="","",
   IF(ISNUMBER(F30),
      IF(N(H30)/F30&gt;=1,"달성","미달성"),
      IF(F30=H30,"달성","미달성")
   )
)</f>
        <v/>
      </c>
    </row>
    <row r="31" spans="1:10">
      <c r="A31" s="94" t="s">
        <v>40</v>
      </c>
      <c r="B31" s="94"/>
      <c r="C31" s="94"/>
      <c r="D31" s="94">
        <f>SUM(D3:D30)</f>
        <v>56</v>
      </c>
      <c r="E31" s="94"/>
      <c r="F31" s="94"/>
      <c r="G31" s="95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95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96" t="str">
        <f>IF(E31="","",
   IF(ISNUMBER(E31),
      IF(N(G31)/E31&gt;=1,"달성","미달성"),
      IF(E31=G31,"달성","미달성")
   )
)</f>
        <v/>
      </c>
      <c r="J31" s="96" t="str">
        <f>IF(F31="","",
   IF(ISNUMBER(F31),
      IF(N(H31)/F31&gt;=1,"달성","미달성"),
      IF(F31=H31,"달성","미달성")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3" type="noConversion"/>
  <conditionalFormatting sqref="I3:J31">
    <cfRule type="cellIs" dxfId="12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/>
  <cols>
    <col min="1" max="1" width="54.59765625" style="85" bestFit="1" customWidth="1"/>
    <col min="2" max="2" width="11.296875" style="85" bestFit="1" customWidth="1"/>
    <col min="3" max="3" width="9.09765625" style="85" bestFit="1" customWidth="1"/>
    <col min="4" max="4" width="8.5" style="85" bestFit="1" customWidth="1"/>
    <col min="5" max="16384" width="8.796875" style="85"/>
  </cols>
  <sheetData>
    <row r="1" spans="1:5" s="85" customFormat="1">
      <c r="A1" s="84" t="s">
        <v>109</v>
      </c>
      <c r="B1" s="84" t="s">
        <v>41</v>
      </c>
      <c r="C1" s="84" t="s">
        <v>42</v>
      </c>
      <c r="D1" s="84" t="s">
        <v>38</v>
      </c>
    </row>
    <row r="2" spans="1:5" s="85" customFormat="1" ht="21.6">
      <c r="A2" s="86" t="s">
        <v>78</v>
      </c>
      <c r="B2" s="86" t="s">
        <v>58</v>
      </c>
      <c r="C2" s="86">
        <v>1</v>
      </c>
      <c r="D2" s="86" t="s">
        <v>96</v>
      </c>
      <c r="E2" s="85" t="s">
        <v>97</v>
      </c>
    </row>
    <row r="3" spans="1:5" s="85" customFormat="1" ht="21.6">
      <c r="A3" s="86" t="s">
        <v>78</v>
      </c>
      <c r="B3" s="86" t="s">
        <v>58</v>
      </c>
      <c r="C3" s="86">
        <v>1</v>
      </c>
      <c r="D3" s="86" t="s">
        <v>98</v>
      </c>
      <c r="E3" s="85" t="s">
        <v>99</v>
      </c>
    </row>
    <row r="4" spans="1:5" s="85" customFormat="1" ht="21.6">
      <c r="A4" s="86" t="s">
        <v>78</v>
      </c>
      <c r="B4" s="86" t="s">
        <v>58</v>
      </c>
      <c r="C4" s="86">
        <v>1</v>
      </c>
      <c r="D4" s="86" t="s">
        <v>98</v>
      </c>
      <c r="E4" s="85" t="s">
        <v>100</v>
      </c>
    </row>
    <row r="5" spans="1:5" s="85" customFormat="1" ht="21.6">
      <c r="A5" s="86" t="s">
        <v>78</v>
      </c>
      <c r="B5" s="86" t="s">
        <v>58</v>
      </c>
      <c r="C5" s="86">
        <v>1</v>
      </c>
      <c r="D5" s="86" t="s">
        <v>96</v>
      </c>
      <c r="E5" s="85" t="s">
        <v>101</v>
      </c>
    </row>
    <row r="6" spans="1:5" s="85" customFormat="1" ht="21.6">
      <c r="A6" s="86" t="s">
        <v>78</v>
      </c>
      <c r="B6" s="86" t="s">
        <v>58</v>
      </c>
      <c r="C6" s="86">
        <v>1</v>
      </c>
      <c r="D6" s="86" t="s">
        <v>96</v>
      </c>
      <c r="E6" s="85" t="s">
        <v>102</v>
      </c>
    </row>
    <row r="7" spans="1:5" s="85" customFormat="1" ht="21.6">
      <c r="A7" s="86" t="s">
        <v>78</v>
      </c>
      <c r="B7" s="86" t="s">
        <v>58</v>
      </c>
      <c r="C7" s="86">
        <v>1</v>
      </c>
      <c r="D7" s="86" t="s">
        <v>96</v>
      </c>
      <c r="E7" s="85" t="s">
        <v>103</v>
      </c>
    </row>
    <row r="8" spans="1:5" s="85" customFormat="1" ht="21.6">
      <c r="A8" s="86" t="s">
        <v>78</v>
      </c>
      <c r="B8" s="86" t="s">
        <v>58</v>
      </c>
      <c r="C8" s="86">
        <v>1</v>
      </c>
      <c r="D8" s="86" t="s">
        <v>96</v>
      </c>
      <c r="E8" s="85" t="s">
        <v>104</v>
      </c>
    </row>
    <row r="9" spans="1:5" s="85" customFormat="1" ht="21.6">
      <c r="A9" s="86" t="s">
        <v>78</v>
      </c>
      <c r="B9" s="86" t="s">
        <v>58</v>
      </c>
      <c r="C9" s="86">
        <v>1</v>
      </c>
      <c r="D9" s="86" t="s">
        <v>105</v>
      </c>
      <c r="E9" s="85" t="s">
        <v>106</v>
      </c>
    </row>
    <row r="10" spans="1:5" s="85" customFormat="1" ht="21.6">
      <c r="A10" s="86" t="s">
        <v>78</v>
      </c>
      <c r="B10" s="86" t="s">
        <v>60</v>
      </c>
      <c r="C10" s="86">
        <v>1</v>
      </c>
      <c r="D10" s="86" t="s">
        <v>98</v>
      </c>
      <c r="E10" s="85" t="s">
        <v>107</v>
      </c>
    </row>
    <row r="11" spans="1:5" s="85" customFormat="1" ht="21.6">
      <c r="A11" s="86" t="s">
        <v>78</v>
      </c>
      <c r="B11" s="86" t="s">
        <v>60</v>
      </c>
      <c r="C11" s="86">
        <v>1</v>
      </c>
      <c r="D11" s="86" t="s">
        <v>96</v>
      </c>
      <c r="E11" s="85" t="s">
        <v>97</v>
      </c>
    </row>
    <row r="12" spans="1:5" s="85" customFormat="1" ht="21.6">
      <c r="A12" s="86" t="s">
        <v>83</v>
      </c>
      <c r="B12" s="86" t="s">
        <v>58</v>
      </c>
      <c r="C12" s="86">
        <v>1</v>
      </c>
      <c r="D12" s="86" t="s">
        <v>105</v>
      </c>
      <c r="E12" s="85" t="s">
        <v>108</v>
      </c>
    </row>
    <row r="13" spans="1:5" s="85" customFormat="1" ht="21.6">
      <c r="A13" s="86" t="s">
        <v>83</v>
      </c>
      <c r="B13" s="86" t="s">
        <v>58</v>
      </c>
      <c r="C13" s="86">
        <v>1</v>
      </c>
      <c r="D13" s="86" t="s">
        <v>105</v>
      </c>
      <c r="E13" s="85" t="s">
        <v>108</v>
      </c>
    </row>
    <row r="14" spans="1:5" s="85" customFormat="1" ht="21.6">
      <c r="A14" s="86" t="s">
        <v>83</v>
      </c>
      <c r="B14" s="86" t="s">
        <v>58</v>
      </c>
      <c r="C14" s="86">
        <v>1</v>
      </c>
      <c r="D14" s="86" t="s">
        <v>105</v>
      </c>
      <c r="E14" s="85" t="s">
        <v>108</v>
      </c>
    </row>
    <row r="15" spans="1:5" s="85" customFormat="1" ht="21.6">
      <c r="A15" s="86" t="s">
        <v>83</v>
      </c>
      <c r="B15" s="86" t="s">
        <v>58</v>
      </c>
      <c r="C15" s="86">
        <v>1</v>
      </c>
      <c r="D15" s="86" t="s">
        <v>105</v>
      </c>
      <c r="E15" s="85" t="s">
        <v>108</v>
      </c>
    </row>
    <row r="16" spans="1:5" s="85" customFormat="1" ht="21.6">
      <c r="A16" s="86" t="s">
        <v>83</v>
      </c>
      <c r="B16" s="86" t="s">
        <v>58</v>
      </c>
      <c r="C16" s="86">
        <v>1</v>
      </c>
      <c r="D16" s="86" t="s">
        <v>105</v>
      </c>
      <c r="E16" s="85" t="s">
        <v>108</v>
      </c>
    </row>
    <row r="17" spans="1:5" s="85" customFormat="1" ht="21.6">
      <c r="A17" s="86" t="s">
        <v>83</v>
      </c>
      <c r="B17" s="86" t="s">
        <v>58</v>
      </c>
      <c r="C17" s="86">
        <v>1</v>
      </c>
      <c r="D17" s="86" t="s">
        <v>105</v>
      </c>
      <c r="E17" s="85" t="s">
        <v>108</v>
      </c>
    </row>
    <row r="18" spans="1:5" s="85" customFormat="1" ht="21.6">
      <c r="A18" s="86" t="s">
        <v>83</v>
      </c>
      <c r="B18" s="86" t="s">
        <v>58</v>
      </c>
      <c r="C18" s="86">
        <v>1</v>
      </c>
      <c r="D18" s="86" t="s">
        <v>105</v>
      </c>
      <c r="E18" s="85" t="s">
        <v>108</v>
      </c>
    </row>
    <row r="19" spans="1:5" s="85" customFormat="1" ht="21.6">
      <c r="A19" s="86" t="s">
        <v>83</v>
      </c>
      <c r="B19" s="86" t="s">
        <v>58</v>
      </c>
      <c r="C19" s="86">
        <v>1</v>
      </c>
      <c r="D19" s="86" t="s">
        <v>105</v>
      </c>
      <c r="E19" s="85" t="s">
        <v>108</v>
      </c>
    </row>
    <row r="20" spans="1:5" s="85" customFormat="1" ht="21.6">
      <c r="A20" s="86" t="s">
        <v>83</v>
      </c>
      <c r="B20" s="86" t="s">
        <v>58</v>
      </c>
      <c r="C20" s="86">
        <v>1</v>
      </c>
      <c r="D20" s="86" t="s">
        <v>105</v>
      </c>
      <c r="E20" s="85" t="s">
        <v>108</v>
      </c>
    </row>
    <row r="21" spans="1:5" s="85" customFormat="1" ht="21.6">
      <c r="A21" s="86" t="s">
        <v>83</v>
      </c>
      <c r="B21" s="86" t="s">
        <v>58</v>
      </c>
      <c r="C21" s="86">
        <v>1</v>
      </c>
      <c r="D21" s="86" t="s">
        <v>105</v>
      </c>
      <c r="E21" s="85" t="s">
        <v>108</v>
      </c>
    </row>
    <row r="22" spans="1:5" s="85" customFormat="1" ht="21.6">
      <c r="A22" s="86" t="s">
        <v>83</v>
      </c>
      <c r="B22" s="86" t="s">
        <v>58</v>
      </c>
      <c r="C22" s="86">
        <v>1</v>
      </c>
      <c r="D22" s="86" t="s">
        <v>105</v>
      </c>
      <c r="E22" s="85" t="s">
        <v>108</v>
      </c>
    </row>
    <row r="23" spans="1:5" s="85" customFormat="1" ht="21.6">
      <c r="A23" s="86" t="s">
        <v>83</v>
      </c>
      <c r="B23" s="86" t="s">
        <v>58</v>
      </c>
      <c r="C23" s="86">
        <v>1</v>
      </c>
      <c r="D23" s="86" t="s">
        <v>105</v>
      </c>
      <c r="E23" s="85" t="s">
        <v>108</v>
      </c>
    </row>
    <row r="24" spans="1:5" s="85" customFormat="1">
      <c r="A24" s="86"/>
      <c r="B24" s="86"/>
      <c r="C24" s="86"/>
      <c r="D24" s="86"/>
    </row>
    <row r="25" spans="1:5" s="85" customFormat="1">
      <c r="A25" s="86"/>
      <c r="B25" s="86"/>
      <c r="C25" s="86"/>
      <c r="D25" s="86"/>
    </row>
    <row r="26" spans="1:5" s="85" customFormat="1">
      <c r="A26" s="86"/>
      <c r="B26" s="86"/>
      <c r="C26" s="86"/>
      <c r="D26" s="86"/>
    </row>
    <row r="27" spans="1:5" s="85" customFormat="1">
      <c r="A27" s="86"/>
      <c r="B27" s="86"/>
      <c r="C27" s="86"/>
      <c r="D27" s="86"/>
    </row>
    <row r="28" spans="1:5" s="85" customFormat="1">
      <c r="A28" s="86"/>
      <c r="B28" s="86"/>
      <c r="C28" s="86"/>
      <c r="D28" s="86"/>
    </row>
    <row r="29" spans="1:5" s="85" customFormat="1">
      <c r="A29" s="86"/>
      <c r="B29" s="86"/>
      <c r="C29" s="86"/>
      <c r="D29" s="86"/>
    </row>
    <row r="30" spans="1:5" s="85" customFormat="1">
      <c r="A30" s="86"/>
      <c r="B30" s="86"/>
      <c r="C30" s="86"/>
      <c r="D30" s="86"/>
    </row>
    <row r="31" spans="1:5" s="85" customFormat="1">
      <c r="A31" s="86"/>
      <c r="B31" s="86"/>
      <c r="C31" s="86"/>
      <c r="D31" s="86"/>
    </row>
    <row r="32" spans="1:5" s="85" customFormat="1">
      <c r="A32" s="86"/>
      <c r="B32" s="86"/>
      <c r="C32" s="86"/>
      <c r="D32" s="86"/>
    </row>
    <row r="33" spans="1:4" s="85" customFormat="1">
      <c r="A33" s="86"/>
      <c r="B33" s="86"/>
      <c r="C33" s="86"/>
      <c r="D33" s="86"/>
    </row>
    <row r="34" spans="1:4" s="85" customFormat="1">
      <c r="A34" s="86"/>
      <c r="B34" s="86"/>
      <c r="C34" s="86"/>
      <c r="D34" s="86"/>
    </row>
    <row r="35" spans="1:4" s="85" customFormat="1">
      <c r="A35" s="86"/>
      <c r="B35" s="86"/>
      <c r="C35" s="86"/>
      <c r="D35" s="86"/>
    </row>
    <row r="36" spans="1:4" s="85" customFormat="1">
      <c r="A36" s="86"/>
      <c r="B36" s="86"/>
      <c r="C36" s="86"/>
      <c r="D36" s="86"/>
    </row>
    <row r="37" spans="1:4" s="85" customFormat="1">
      <c r="A37" s="86"/>
      <c r="B37" s="86"/>
      <c r="C37" s="86"/>
      <c r="D37" s="86"/>
    </row>
    <row r="38" spans="1:4" s="85" customFormat="1">
      <c r="A38" s="86"/>
      <c r="B38" s="86"/>
      <c r="C38" s="86"/>
      <c r="D38" s="86"/>
    </row>
    <row r="39" spans="1:4" s="85" customFormat="1">
      <c r="A39" s="86"/>
      <c r="B39" s="86"/>
      <c r="C39" s="86"/>
      <c r="D39" s="86"/>
    </row>
    <row r="40" spans="1:4" s="85" customFormat="1">
      <c r="A40" s="86"/>
      <c r="B40" s="86"/>
      <c r="C40" s="86"/>
      <c r="D40" s="86"/>
    </row>
    <row r="41" spans="1:4" s="85" customFormat="1">
      <c r="A41" s="86"/>
      <c r="B41" s="86"/>
      <c r="C41" s="86"/>
      <c r="D41" s="86"/>
    </row>
    <row r="42" spans="1:4" s="85" customFormat="1">
      <c r="A42" s="86"/>
      <c r="B42" s="86"/>
      <c r="C42" s="86"/>
      <c r="D42" s="86"/>
    </row>
    <row r="43" spans="1:4" s="85" customFormat="1">
      <c r="A43" s="86"/>
      <c r="B43" s="86"/>
      <c r="C43" s="86"/>
      <c r="D43" s="86"/>
    </row>
    <row r="44" spans="1:4" s="85" customFormat="1">
      <c r="A44" s="86"/>
      <c r="B44" s="86"/>
      <c r="C44" s="86"/>
      <c r="D44" s="86"/>
    </row>
    <row r="45" spans="1:4" s="85" customFormat="1">
      <c r="A45" s="86"/>
      <c r="B45" s="86"/>
      <c r="C45" s="86"/>
      <c r="D45" s="86"/>
    </row>
    <row r="46" spans="1:4" s="85" customFormat="1">
      <c r="A46" s="86"/>
      <c r="B46" s="86"/>
      <c r="C46" s="86"/>
      <c r="D46" s="86"/>
    </row>
    <row r="47" spans="1:4" s="85" customFormat="1">
      <c r="A47" s="86"/>
      <c r="B47" s="86"/>
      <c r="C47" s="86"/>
      <c r="D47" s="86"/>
    </row>
    <row r="48" spans="1:4" s="85" customFormat="1">
      <c r="A48" s="86"/>
      <c r="B48" s="86"/>
      <c r="C48" s="86"/>
      <c r="D48" s="86"/>
    </row>
    <row r="49" spans="1:4" s="85" customFormat="1">
      <c r="A49" s="86"/>
      <c r="B49" s="86"/>
      <c r="C49" s="86"/>
      <c r="D49" s="86"/>
    </row>
    <row r="50" spans="1:4" s="85" customFormat="1">
      <c r="A50" s="86"/>
      <c r="B50" s="86"/>
      <c r="C50" s="86"/>
      <c r="D50" s="86"/>
    </row>
  </sheetData>
  <phoneticPr fontId="3" type="noConversion"/>
  <conditionalFormatting sqref="A2:D50">
    <cfRule type="expression" dxfId="11" priority="1">
      <formula>OR($B2="2단계 3연차", $B2="3단계 3연차")</formula>
    </cfRule>
    <cfRule type="expression" dxfId="10" priority="2">
      <formula>OR($B2="2단계 2연차", $B2="3단계 2연차")</formula>
    </cfRule>
    <cfRule type="expression" dxfId="9" priority="3">
      <formula>OR($B2="2단계 1연차", $B2="3단계 1연차")</formula>
    </cfRule>
    <cfRule type="expression" dxfId="8" priority="4">
      <formula>OR($B2="0단계 3연차", $B2="1단계 3연차")</formula>
    </cfRule>
    <cfRule type="expression" dxfId="7" priority="5">
      <formula>OR($B2="0단계 2연차", $B2="1단계 2연차")</formula>
    </cfRule>
    <cfRule type="expression" dxfId="6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2026-05-28T00:20:20Z</dcterms:modified>
  <cp:category/>
  <cp:contentStatus/>
</cp:coreProperties>
</file>