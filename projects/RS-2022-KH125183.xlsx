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6784DDDF-1EE4-4C6D-9D75-CB1B6AF781FA}" xr6:coauthVersionLast="47" xr6:coauthVersionMax="47" xr10:uidLastSave="{00000000-0000-0000-0000-000000000000}"/>
  <bookViews>
    <workbookView xWindow="-108" yWindow="-108" windowWidth="23256" windowHeight="12456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externalReferences>
    <externalReference r:id="rId5"/>
  </externalReference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G4" i="5" l="1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H31" i="5" a="1"/>
  <c r="H31" i="5" s="1"/>
  <c r="G31" i="5" a="1"/>
  <c r="G31" i="5" s="1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<sst xmlns="http://schemas.openxmlformats.org/spreadsheetml/2006/main" count="241" uniqueCount="128">
  <si>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</si>
  <si>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</si>
  <si>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</si>
  <si>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</si>
  <si>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</si>
  <si>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</si>
  <si>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</si>
  <si>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</si>
  <si>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</si>
  <si>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</si>
  <si>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</si>
  <si>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</si>
  <si>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</si>
  <si>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연차별 연구개발 달성률</t>
    <phoneticPr fontId="6" type="noConversion"/>
  </si>
  <si>
    <t>합계</t>
  </si>
  <si>
    <t>단계-연차</t>
    <phoneticPr fontId="6" type="noConversion"/>
  </si>
  <si>
    <t>달성</t>
    <phoneticPr fontId="6" type="noConversion"/>
  </si>
  <si>
    <t>목표</t>
    <phoneticPr fontId="2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</si>
  <si>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</si>
  <si>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</si>
  <si>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</si>
  <si>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</si>
  <si>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</si>
  <si>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</si>
  <si>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</si>
  <si>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</si>
  <si>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</si>
  <si>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</si>
  <si>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</si>
  <si>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</si>
  <si>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</si>
  <si>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</si>
  <si>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</si>
  <si>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</si>
  <si>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</si>
  <si>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</si>
  <si>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</si>
  <si>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</si>
  <si>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</si>
  <si>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</si>
  <si>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</si>
  <si>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</si>
  <si>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</si>
  <si>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</si>
  <si>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</si>
  <si>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</si>
  <si>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</si>
  <si>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</si>
  <si>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</si>
  <si>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</si>
  <si>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</si>
  <si>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</si>
  <si>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</si>
  <si>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</si>
  <si>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</si>
  <si>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</si>
  <si>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</si>
  <si>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</si>
  <si>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</si>
  <si>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</si>
  <si>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</si>
  <si>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</si>
  <si>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</si>
  <si>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</si>
  <si>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</si>
  <si>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2" type="noConversion"/>
  </si>
  <si>
    <t>2단계 2연차</t>
    <phoneticPr fontId="2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</si>
  <si>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</si>
  <si>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</si>
  <si>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</si>
  <si>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</si>
  <si>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</si>
  <si>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</si>
  <si>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</si>
  <si>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</si>
  <si>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</si>
  <si>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</si>
  <si>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</si>
  <si>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</si>
  <si>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</si>
  <si>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</si>
  <si>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</si>
  <si>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</si>
  <si>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</si>
  <si>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</si>
  <si>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</si>
  <si>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</si>
  <si>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</si>
  <si>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</si>
  <si>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</si>
  <si>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</si>
  <si>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2022-04-01 - 2026-12-31</t>
  </si>
  <si>
    <t>당해기간</t>
  </si>
  <si>
    <t>2026-01-01 - 2026-12-31 (2단계 2연차)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</si>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</sst>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사업비"/>
      <sheetName val="마일스톤"/>
      <sheetName val="정량지표"/>
      <sheetName val="정량지표상세"/>
    </sheetNames>
    <sheetDataSet>
      <sheetData sheetId="0"/>
      <sheetData sheetId="1"/>
      <sheetData sheetId="2"/>
      <sheetData sheetId="3"/>
      <sheetData sheetId="4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3" dataDxfId="34" headerRowCellStyle="쉼표 [0]" dataCellStyle="쉼표 [0]">
  <autoFilter ref="G1:G2" xr:uid="{1B850819-6720-48E0-AF35-0B2D5691CEB6}"/>
  <tableColumns count="1">
    <tableColumn id="1" xr3:uid="{A6E6044B-92D8-4A8F-B3A7-A12C3877F860}" name="열1" dataDxfId="35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0">
  <autoFilter ref="A1:B15" xr:uid="{421F53E0-88B3-4702-8C50-E1E3AE1553DD}"/>
  <tableColumns count="2">
    <tableColumn id="1" xr3:uid="{6811B6BA-68EB-4A27-A5E8-74F7CC48B115}" uniqueName="1" name="Column1" queryTableFieldId="1" dataDxfId="32"/>
    <tableColumn id="2" xr3:uid="{F32A2F07-1052-46EA-952E-C55D4AB75C8F}" uniqueName="2" name="Column2" queryTableFieldId="2" dataDxfId="3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13" dataDxfId="14">
  <autoFilter ref="A17:O24" xr:uid="{B0BF082F-53F9-49B7-A45C-1EB1A783B071}"/>
  <tableColumns count="15">
    <tableColumn id="1" xr3:uid="{0F2914C2-C8B3-46C6-8A0C-A7E5AABE2418}" uniqueName="1" name="Column1" queryTableFieldId="1" dataDxfId="16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15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abSelected="1" topLeftCell="B6" workbookViewId="0">
      <selection activeCell="N19" sqref="N19"/>
    </sheetView>
  </sheetViews>
  <sheetFormatPr defaultColWidth="17.59765625" defaultRowHeight="15" customHeight="1" x14ac:dyDescent="0.4"/>
  <cols>
    <col min="1" max="1" width="16.19921875" style="1" bestFit="1" customWidth="1"/>
    <col min="2" max="2" width="80.796875" style="1" bestFit="1" customWidth="1"/>
    <col min="3" max="3" width="11" style="1" bestFit="1" customWidth="1"/>
    <col min="4" max="4" width="8.796875" style="1" bestFit="1" customWidth="1"/>
    <col min="5" max="5" width="11.796875" style="2" bestFit="1" customWidth="1"/>
    <col min="6" max="6" width="15.5" style="3" bestFit="1" customWidth="1"/>
    <col min="7" max="7" width="11.59765625" style="4" bestFit="1" customWidth="1"/>
    <col min="8" max="9" width="15.5" style="1" bestFit="1" customWidth="1"/>
    <col min="10" max="10" width="13.09765625" style="1" bestFit="1" customWidth="1"/>
    <col min="11" max="11" width="12.8984375" style="1" bestFit="1" customWidth="1"/>
    <col min="12" max="12" width="11.796875" style="1" bestFit="1" customWidth="1"/>
    <col min="13" max="13" width="12.8984375" style="1" bestFit="1" customWidth="1"/>
    <col min="14" max="14" width="14.5" style="1" bestFit="1" customWidth="1"/>
    <col min="15" max="15" width="9.5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81</v>
      </c>
      <c r="B1" s="1" t="s">
        <v>82</v>
      </c>
      <c r="F1" s="1"/>
      <c r="G1" s="4" t="s">
        <v>99</v>
      </c>
    </row>
    <row r="2" spans="1:10" ht="17.399999999999999" x14ac:dyDescent="0.4">
      <c r="A2" t="s">
        <v>83</v>
      </c>
      <c r="B2" t="s">
        <v>18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RS-2022-KH125183</v>
      </c>
    </row>
    <row r="3" spans="1:10" ht="17.399999999999999" x14ac:dyDescent="0.4">
      <c r="A3" t="s">
        <v>84</v>
      </c>
      <c r="B3" t="s">
        <v>19</v>
      </c>
      <c r="E3" s="1"/>
      <c r="F3" s="1"/>
      <c r="G3" s="1"/>
    </row>
    <row r="4" spans="1:10" ht="17.399999999999999" x14ac:dyDescent="0.4">
      <c r="A4" t="s">
        <v>85</v>
      </c>
      <c r="B4" t="s">
        <v>20</v>
      </c>
      <c r="E4" s="1"/>
      <c r="F4" s="1"/>
      <c r="G4" s="1"/>
    </row>
    <row r="5" spans="1:10" ht="17.399999999999999" x14ac:dyDescent="0.4">
      <c r="A5" t="s">
        <v>86</v>
      </c>
      <c r="B5" t="s">
        <v>21</v>
      </c>
      <c r="E5" s="1"/>
      <c r="F5" s="1"/>
      <c r="G5" s="1"/>
    </row>
    <row r="6" spans="1:10" ht="17.399999999999999" x14ac:dyDescent="0.4">
      <c r="A6" t="s">
        <v>87</v>
      </c>
      <c r="B6" t="s">
        <v>22</v>
      </c>
      <c r="E6" s="1"/>
      <c r="F6" s="1"/>
      <c r="G6" s="1"/>
    </row>
    <row r="7" spans="1:10" ht="17.399999999999999" x14ac:dyDescent="0.4">
      <c r="A7" t="s">
        <v>88</v>
      </c>
      <c r="B7" t="s">
        <v>23</v>
      </c>
      <c r="E7" s="1"/>
      <c r="F7" s="1"/>
      <c r="G7" s="1"/>
    </row>
    <row r="8" spans="1:10" ht="17.399999999999999" x14ac:dyDescent="0.4">
      <c r="A8" t="s">
        <v>89</v>
      </c>
      <c r="B8" t="s">
        <v>24</v>
      </c>
      <c r="E8" s="1"/>
      <c r="F8" s="1"/>
      <c r="G8" s="1"/>
    </row>
    <row r="9" spans="1:10" ht="17.399999999999999" x14ac:dyDescent="0.4">
      <c r="A9" t="s">
        <v>90</v>
      </c>
      <c r="B9" t="s">
        <v>91</v>
      </c>
      <c r="C9" s="5"/>
      <c r="E9" s="1"/>
      <c r="F9" s="1"/>
      <c r="G9" s="1"/>
    </row>
    <row r="10" spans="1:10" ht="17.399999999999999" x14ac:dyDescent="0.4">
      <c r="A10" t="s">
        <v>92</v>
      </c>
      <c r="B10" t="s">
        <v>93</v>
      </c>
      <c r="C10" s="6"/>
      <c r="D10" s="5"/>
      <c r="E10" s="5"/>
      <c r="F10" s="1"/>
      <c r="G10" s="1"/>
    </row>
    <row r="11" spans="1:10" ht="17.399999999999999" x14ac:dyDescent="0.4">
      <c r="A11" t="s">
        <v>94</v>
      </c>
      <c r="B11">
        <v>12</v>
      </c>
      <c r="C11" s="5"/>
      <c r="D11" s="5"/>
      <c r="E11" s="5"/>
      <c r="F11" s="1"/>
      <c r="G11" s="1"/>
    </row>
    <row r="12" spans="1:10" ht="17.399999999999999" x14ac:dyDescent="0.4">
      <c r="A12" t="s">
        <v>95</v>
      </c>
      <c r="B12" t="s">
        <v>25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96</v>
      </c>
      <c r="B13" t="s">
        <v>26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97</v>
      </c>
      <c r="B14" s="31">
        <v>44558</v>
      </c>
      <c r="E14" s="1"/>
      <c r="F14" s="5"/>
      <c r="G14" s="1"/>
    </row>
    <row r="15" spans="1:10" ht="17.399999999999999" x14ac:dyDescent="0.4">
      <c r="A15" t="s">
        <v>98</v>
      </c>
      <c r="B15"/>
      <c r="C15" s="5"/>
      <c r="E15" s="1"/>
      <c r="F15" s="1"/>
      <c r="G15" s="1"/>
    </row>
    <row r="17" spans="1:15" ht="10.8" x14ac:dyDescent="0.4">
      <c r="A17" s="1" t="s">
        <v>81</v>
      </c>
      <c r="B17" s="1" t="s">
        <v>82</v>
      </c>
      <c r="C17" s="1" t="s">
        <v>100</v>
      </c>
      <c r="D17" s="1" t="s">
        <v>101</v>
      </c>
      <c r="E17" s="32" t="s">
        <v>102</v>
      </c>
      <c r="F17" s="5" t="s">
        <v>103</v>
      </c>
      <c r="G17" s="33" t="s">
        <v>104</v>
      </c>
      <c r="H17" s="1" t="s">
        <v>105</v>
      </c>
      <c r="I17" s="1" t="s">
        <v>106</v>
      </c>
      <c r="J17" s="1" t="s">
        <v>107</v>
      </c>
      <c r="K17" s="1" t="s">
        <v>108</v>
      </c>
      <c r="L17" s="1" t="s">
        <v>109</v>
      </c>
      <c r="M17" s="1" t="s">
        <v>110</v>
      </c>
      <c r="N17" s="1" t="s">
        <v>111</v>
      </c>
      <c r="O17" s="1" t="s">
        <v>112</v>
      </c>
    </row>
    <row r="18" spans="1:15" ht="17.399999999999999" x14ac:dyDescent="0.4">
      <c r="A18" t="s">
        <v>113</v>
      </c>
      <c r="B18" t="s">
        <v>114</v>
      </c>
      <c r="C18" t="s">
        <v>115</v>
      </c>
      <c r="D18" t="s">
        <v>116</v>
      </c>
      <c r="E18" t="s">
        <v>117</v>
      </c>
      <c r="F18" t="s">
        <v>118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2</v>
      </c>
    </row>
    <row r="19" spans="1:15" ht="17.399999999999999" x14ac:dyDescent="0.4">
      <c r="A19" t="s">
        <v>27</v>
      </c>
      <c r="B19" s="31">
        <v>44652</v>
      </c>
      <c r="C19" s="31">
        <v>44926</v>
      </c>
      <c r="D19">
        <v>9</v>
      </c>
      <c r="E19" s="34">
        <v>0</v>
      </c>
      <c r="F19" s="34">
        <v>40000000</v>
      </c>
      <c r="G19" s="34"/>
      <c r="H19" s="34">
        <v>1334000</v>
      </c>
      <c r="I19" s="34">
        <v>12000000</v>
      </c>
      <c r="J19" s="34">
        <v>13334000</v>
      </c>
      <c r="K19" s="34">
        <v>41334000</v>
      </c>
      <c r="L19" s="34">
        <v>12000000</v>
      </c>
      <c r="M19" s="34">
        <v>53334000</v>
      </c>
      <c r="N19" s="34"/>
      <c r="O19" s="34"/>
    </row>
    <row r="20" spans="1:15" ht="17.399999999999999" x14ac:dyDescent="0.4">
      <c r="A20" t="s">
        <v>28</v>
      </c>
      <c r="B20" s="31">
        <v>44927</v>
      </c>
      <c r="C20" s="31">
        <v>45291</v>
      </c>
      <c r="D20">
        <v>12</v>
      </c>
      <c r="E20" s="34">
        <v>1300000</v>
      </c>
      <c r="F20" s="34">
        <v>50000000</v>
      </c>
      <c r="G20" s="34"/>
      <c r="H20" s="34">
        <v>1667000</v>
      </c>
      <c r="I20" s="34">
        <v>15000000</v>
      </c>
      <c r="J20" s="34">
        <v>16667000</v>
      </c>
      <c r="K20" s="34">
        <v>51667000</v>
      </c>
      <c r="L20" s="34">
        <v>15000000</v>
      </c>
      <c r="M20" s="34">
        <v>66667000</v>
      </c>
      <c r="N20" s="34">
        <v>350000000</v>
      </c>
      <c r="O20" s="34"/>
    </row>
    <row r="21" spans="1:15" ht="17.399999999999999" x14ac:dyDescent="0.4">
      <c r="A21" t="s">
        <v>29</v>
      </c>
      <c r="B21" s="31">
        <v>45292</v>
      </c>
      <c r="C21" s="31">
        <v>45657</v>
      </c>
      <c r="D21">
        <v>12</v>
      </c>
      <c r="E21" s="34">
        <v>7825620</v>
      </c>
      <c r="F21" s="34">
        <v>50000000</v>
      </c>
      <c r="G21" s="34"/>
      <c r="H21" s="34">
        <v>1667000</v>
      </c>
      <c r="I21" s="34">
        <v>15000000</v>
      </c>
      <c r="J21" s="34">
        <v>16667000</v>
      </c>
      <c r="K21" s="34">
        <v>51667000</v>
      </c>
      <c r="L21" s="34">
        <v>15000000</v>
      </c>
      <c r="M21" s="34">
        <v>66667000</v>
      </c>
      <c r="N21" s="34">
        <v>350000000</v>
      </c>
      <c r="O21" s="34"/>
    </row>
    <row r="22" spans="1:15" ht="17.399999999999999" x14ac:dyDescent="0.4">
      <c r="A22" t="s">
        <v>30</v>
      </c>
      <c r="B22" s="31">
        <v>45658</v>
      </c>
      <c r="C22" s="31">
        <v>46022</v>
      </c>
      <c r="D22">
        <v>12</v>
      </c>
      <c r="E22" s="34">
        <v>16558661</v>
      </c>
      <c r="F22" s="34">
        <v>50000000</v>
      </c>
      <c r="G22" s="34"/>
      <c r="H22" s="34">
        <v>1667000</v>
      </c>
      <c r="I22" s="34">
        <v>15000000</v>
      </c>
      <c r="J22" s="34">
        <v>16667000</v>
      </c>
      <c r="K22" s="34">
        <v>51667000</v>
      </c>
      <c r="L22" s="34">
        <v>15000000</v>
      </c>
      <c r="M22" s="34">
        <v>66667000</v>
      </c>
      <c r="N22" s="34">
        <v>350000000</v>
      </c>
      <c r="O22" s="34"/>
    </row>
    <row r="23" spans="1:15" ht="17.399999999999999" x14ac:dyDescent="0.4">
      <c r="A23" t="s">
        <v>31</v>
      </c>
      <c r="B23" s="31">
        <v>46023</v>
      </c>
      <c r="C23" s="31">
        <v>46387</v>
      </c>
      <c r="D23">
        <v>12</v>
      </c>
      <c r="E23" s="34">
        <v>45705131</v>
      </c>
      <c r="F23" s="34">
        <v>45000000</v>
      </c>
      <c r="G23" s="34"/>
      <c r="H23" s="34">
        <v>1500000</v>
      </c>
      <c r="I23" s="34">
        <v>13500000</v>
      </c>
      <c r="J23" s="34">
        <v>15000000</v>
      </c>
      <c r="K23" s="34">
        <v>46500000</v>
      </c>
      <c r="L23" s="34">
        <v>13500000</v>
      </c>
      <c r="M23" s="34">
        <v>60000000</v>
      </c>
      <c r="N23" s="34">
        <v>350000000</v>
      </c>
      <c r="O23" s="34"/>
    </row>
    <row r="24" spans="1:15" ht="17.399999999999999" x14ac:dyDescent="0.4">
      <c r="A24" t="s">
        <v>127</v>
      </c>
      <c r="B24"/>
      <c r="C24"/>
      <c r="D24">
        <v>57</v>
      </c>
      <c r="E24" s="34">
        <v>0</v>
      </c>
      <c r="F24" s="34">
        <v>235000000</v>
      </c>
      <c r="G24" s="34">
        <v>0</v>
      </c>
      <c r="H24" s="34">
        <v>7835000</v>
      </c>
      <c r="I24" s="34">
        <v>70500000</v>
      </c>
      <c r="J24" s="34">
        <v>78335000</v>
      </c>
      <c r="K24" s="34">
        <v>242835000</v>
      </c>
      <c r="L24" s="34">
        <v>70500000</v>
      </c>
      <c r="M24" s="34">
        <v>313335000</v>
      </c>
      <c r="N24" s="34">
        <v>1400000000</v>
      </c>
      <c r="O24" s="34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B25" sqref="B25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24" t="s">
        <v>3</v>
      </c>
      <c r="E1" s="24"/>
      <c r="F1" s="25" t="s">
        <v>4</v>
      </c>
      <c r="G1" s="25"/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f>IF(B3&lt;&gt;"",SUBTOTAL(3,$B$3:B3),"")</f>
        <v>1</v>
      </c>
      <c r="B3" s="12" t="s">
        <v>32</v>
      </c>
      <c r="C3" s="9" t="s">
        <v>30</v>
      </c>
      <c r="D3" s="9">
        <v>45658</v>
      </c>
      <c r="E3" s="9">
        <v>45747</v>
      </c>
      <c r="F3" s="9">
        <v>45658</v>
      </c>
      <c r="G3" s="9">
        <v>45747</v>
      </c>
    </row>
    <row r="4" spans="1:7" x14ac:dyDescent="0.4">
      <c r="A4" s="15">
        <f>IF(B4&lt;&gt;"",SUBTOTAL(3,$B$3:B4),"")</f>
        <v>2</v>
      </c>
      <c r="B4" s="12" t="s">
        <v>33</v>
      </c>
      <c r="C4" s="9" t="s">
        <v>30</v>
      </c>
      <c r="D4" s="9">
        <v>45748</v>
      </c>
      <c r="E4" s="9">
        <v>45838</v>
      </c>
      <c r="F4" s="9">
        <v>45748</v>
      </c>
      <c r="G4" s="9">
        <v>45838</v>
      </c>
    </row>
    <row r="5" spans="1:7" x14ac:dyDescent="0.4">
      <c r="A5" s="15">
        <f>IF(B5&lt;&gt;"",SUBTOTAL(3,$B$3:B5),"")</f>
        <v>3</v>
      </c>
      <c r="B5" s="12" t="s">
        <v>34</v>
      </c>
      <c r="C5" s="9" t="s">
        <v>30</v>
      </c>
      <c r="D5" s="9">
        <v>45839</v>
      </c>
      <c r="E5" s="9">
        <v>45961</v>
      </c>
      <c r="F5" s="9">
        <v>45839</v>
      </c>
      <c r="G5" s="9">
        <v>45961</v>
      </c>
    </row>
    <row r="6" spans="1:7" x14ac:dyDescent="0.4">
      <c r="A6" s="15">
        <f>IF(B6&lt;&gt;"",SUBTOTAL(3,$B$3:B6),"")</f>
        <v>4</v>
      </c>
      <c r="B6" s="12" t="s">
        <v>35</v>
      </c>
      <c r="C6" s="9" t="s">
        <v>30</v>
      </c>
      <c r="D6" s="9">
        <v>45962</v>
      </c>
      <c r="E6" s="9">
        <v>46387</v>
      </c>
      <c r="F6" s="9">
        <v>45962</v>
      </c>
      <c r="G6" s="9"/>
    </row>
    <row r="7" spans="1:7" x14ac:dyDescent="0.4">
      <c r="A7" s="15">
        <f>IF(B7&lt;&gt;"",SUBTOTAL(3,$B$3:B7),"")</f>
        <v>5</v>
      </c>
      <c r="B7" s="12" t="s">
        <v>36</v>
      </c>
      <c r="C7" s="9" t="s">
        <v>30</v>
      </c>
      <c r="D7" s="9">
        <v>45778</v>
      </c>
      <c r="E7" s="9">
        <v>46022</v>
      </c>
      <c r="F7" s="9">
        <v>45778</v>
      </c>
      <c r="G7" s="9">
        <v>46022</v>
      </c>
    </row>
    <row r="8" spans="1:7" x14ac:dyDescent="0.4">
      <c r="A8" s="15">
        <f>IF(B8&lt;&gt;"",SUBTOTAL(3,$B$3:B8),"")</f>
        <v>6</v>
      </c>
      <c r="B8" s="13" t="s">
        <v>37</v>
      </c>
      <c r="C8" s="9" t="s">
        <v>30</v>
      </c>
      <c r="D8" s="9">
        <v>45658</v>
      </c>
      <c r="E8" s="9">
        <v>45777</v>
      </c>
      <c r="F8" s="9">
        <v>45658</v>
      </c>
      <c r="G8" s="9">
        <v>45777</v>
      </c>
    </row>
    <row r="9" spans="1:7" x14ac:dyDescent="0.4">
      <c r="A9" s="15">
        <f>IF(B9&lt;&gt;"",SUBTOTAL(3,$B$3:B9),"")</f>
        <v>7</v>
      </c>
      <c r="B9" s="13" t="s">
        <v>38</v>
      </c>
      <c r="C9" s="9" t="s">
        <v>30</v>
      </c>
      <c r="D9" s="9">
        <v>45717</v>
      </c>
      <c r="E9" s="9">
        <v>45808</v>
      </c>
      <c r="F9" s="9">
        <v>45717</v>
      </c>
      <c r="G9" s="9">
        <v>45808</v>
      </c>
    </row>
    <row r="10" spans="1:7" x14ac:dyDescent="0.4">
      <c r="A10" s="15">
        <f>IF(B10&lt;&gt;"",SUBTOTAL(3,$B$3:B10),"")</f>
        <v>8</v>
      </c>
      <c r="B10" s="12" t="s">
        <v>39</v>
      </c>
      <c r="C10" s="9" t="s">
        <v>30</v>
      </c>
      <c r="D10" s="9">
        <v>45778</v>
      </c>
      <c r="E10" s="9">
        <v>45961</v>
      </c>
      <c r="F10" s="9">
        <v>45778</v>
      </c>
      <c r="G10" s="9">
        <v>45961</v>
      </c>
    </row>
    <row r="11" spans="1:7" x14ac:dyDescent="0.4">
      <c r="A11" s="15">
        <f>IF(B11&lt;&gt;"",SUBTOTAL(3,$B$3:B11),"")</f>
        <v>9</v>
      </c>
      <c r="B11" s="12" t="s">
        <v>40</v>
      </c>
      <c r="C11" s="9" t="s">
        <v>30</v>
      </c>
      <c r="D11" s="9">
        <v>45778</v>
      </c>
      <c r="E11" s="9">
        <v>45961</v>
      </c>
      <c r="F11" s="9">
        <v>45778</v>
      </c>
      <c r="G11" s="9">
        <v>45961</v>
      </c>
    </row>
    <row r="12" spans="1:7" x14ac:dyDescent="0.4">
      <c r="A12" s="15">
        <f>IF(B12&lt;&gt;"",SUBTOTAL(3,$B$3:B12),"")</f>
        <v>10</v>
      </c>
      <c r="B12" s="12" t="s">
        <v>41</v>
      </c>
      <c r="C12" s="9" t="s">
        <v>30</v>
      </c>
      <c r="D12" s="9">
        <v>45901</v>
      </c>
      <c r="E12" s="9">
        <v>46022</v>
      </c>
      <c r="F12" s="9">
        <v>45901</v>
      </c>
      <c r="G12" s="9">
        <v>46022</v>
      </c>
    </row>
    <row r="13" spans="1:7" x14ac:dyDescent="0.4">
      <c r="A13" s="15">
        <f>IF(B13&lt;&gt;"",SUBTOTAL(3,$B$3:B13),"")</f>
        <v>11</v>
      </c>
      <c r="B13" s="12" t="s">
        <v>42</v>
      </c>
      <c r="C13" s="9" t="s">
        <v>31</v>
      </c>
      <c r="D13" s="9">
        <v>46235</v>
      </c>
      <c r="E13" s="9">
        <v>46387</v>
      </c>
      <c r="F13" s="9"/>
      <c r="G13" s="9"/>
    </row>
    <row r="14" spans="1:7" x14ac:dyDescent="0.4">
      <c r="A14" s="15">
        <f>IF(B14&lt;&gt;"",SUBTOTAL(3,$B$3:B14),"")</f>
        <v>12</v>
      </c>
      <c r="B14" s="12" t="s">
        <v>43</v>
      </c>
      <c r="C14" s="9" t="s">
        <v>31</v>
      </c>
      <c r="D14" s="9">
        <v>46235</v>
      </c>
      <c r="E14" s="9">
        <v>46387</v>
      </c>
      <c r="F14" s="9"/>
      <c r="G14" s="9"/>
    </row>
    <row r="15" spans="1:7" x14ac:dyDescent="0.4">
      <c r="A15" s="15">
        <f>IF(B15&lt;&gt;"",SUBTOTAL(3,$B$3:B15),"")</f>
        <v>13</v>
      </c>
      <c r="B15" s="12" t="s">
        <v>44</v>
      </c>
      <c r="C15" s="9" t="s">
        <v>31</v>
      </c>
      <c r="D15" s="9">
        <v>46174</v>
      </c>
      <c r="E15" s="9">
        <v>46387</v>
      </c>
      <c r="F15" s="9"/>
      <c r="G15" s="9"/>
    </row>
    <row r="16" spans="1:7" x14ac:dyDescent="0.4">
      <c r="A16" s="15">
        <f>IF(B16&lt;&gt;"",SUBTOTAL(3,$B$3:B16),"")</f>
        <v>14</v>
      </c>
      <c r="B16" s="12" t="s">
        <v>45</v>
      </c>
      <c r="C16" s="9" t="s">
        <v>31</v>
      </c>
      <c r="D16" s="9">
        <v>46023</v>
      </c>
      <c r="E16" s="9">
        <v>46112</v>
      </c>
      <c r="F16" s="9"/>
      <c r="G16" s="9"/>
    </row>
    <row r="17" spans="1:7" x14ac:dyDescent="0.4">
      <c r="A17" s="15">
        <f>IF(B17&lt;&gt;"",SUBTOTAL(3,$B$3:B17),"")</f>
        <v>15</v>
      </c>
      <c r="B17" s="14" t="s">
        <v>46</v>
      </c>
      <c r="C17" s="9" t="s">
        <v>31</v>
      </c>
      <c r="D17" s="9">
        <v>46023</v>
      </c>
      <c r="E17" s="9">
        <v>46112</v>
      </c>
      <c r="F17" s="9"/>
      <c r="G17" s="9"/>
    </row>
    <row r="18" spans="1:7" x14ac:dyDescent="0.4">
      <c r="A18" s="15">
        <f>IF(B18&lt;&gt;"",SUBTOTAL(3,$B$3:B18),"")</f>
        <v>16</v>
      </c>
      <c r="B18" s="14" t="s">
        <v>47</v>
      </c>
      <c r="C18" s="9" t="s">
        <v>31</v>
      </c>
      <c r="D18" s="9">
        <v>46082</v>
      </c>
      <c r="E18" s="9">
        <v>46203</v>
      </c>
      <c r="F18" s="9"/>
      <c r="G18" s="9"/>
    </row>
    <row r="19" spans="1:7" x14ac:dyDescent="0.4">
      <c r="A19" s="15">
        <f>IF(B19&lt;&gt;"",SUBTOTAL(3,$B$3:B19),"")</f>
        <v>17</v>
      </c>
      <c r="B19" s="14" t="s">
        <v>48</v>
      </c>
      <c r="C19" s="9" t="s">
        <v>31</v>
      </c>
      <c r="D19" s="9">
        <v>46174</v>
      </c>
      <c r="E19" s="9">
        <v>46387</v>
      </c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sheetProtection sheet="1" objects="1" scenarios="1"/>
  <mergeCells count="2">
    <mergeCell ref="D1:E1"/>
    <mergeCell ref="F1:G1"/>
  </mergeCells>
  <phoneticPr fontId="2" type="noConversion"/>
  <conditionalFormatting sqref="A3:G50">
    <cfRule type="expression" dxfId="29" priority="1">
      <formula>OR($C3="2단계 3연차", $C3="3단계 3연차")</formula>
    </cfRule>
    <cfRule type="expression" dxfId="28" priority="2">
      <formula>OR($C3="2단계 2연차", $C3="3단계 2연차")</formula>
    </cfRule>
    <cfRule type="expression" dxfId="27" priority="3">
      <formula>OR($C3="2단계 1연차", $C3="3단계 1연차")</formula>
    </cfRule>
    <cfRule type="expression" dxfId="26" priority="4">
      <formula>OR($C3="0단계 3연차", $C3="1단계 3연차")</formula>
    </cfRule>
    <cfRule type="expression" dxfId="25" priority="5">
      <formula>OR($C3="0단계 2연차", $C3="1단계 2연차")</formula>
    </cfRule>
    <cfRule type="expression" dxfId="24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A16" sqref="A16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26" t="s">
        <v>8</v>
      </c>
      <c r="B1" s="26" t="s">
        <v>9</v>
      </c>
      <c r="C1" s="26" t="s">
        <v>10</v>
      </c>
      <c r="D1" s="26" t="s">
        <v>11</v>
      </c>
      <c r="E1" s="29" t="s">
        <v>17</v>
      </c>
      <c r="F1" s="30"/>
      <c r="G1" s="29" t="s">
        <v>16</v>
      </c>
      <c r="H1" s="30"/>
      <c r="I1" s="28" t="s">
        <v>13</v>
      </c>
      <c r="J1" s="28"/>
    </row>
    <row r="2" spans="1:10" x14ac:dyDescent="0.4">
      <c r="A2" s="27"/>
      <c r="B2" s="27"/>
      <c r="C2" s="27"/>
      <c r="D2" s="27"/>
      <c r="E2" s="19" t="s">
        <v>65</v>
      </c>
      <c r="F2" s="19" t="s">
        <v>66</v>
      </c>
      <c r="G2" s="19" t="s">
        <v>29</v>
      </c>
      <c r="H2" s="19" t="s">
        <v>31</v>
      </c>
      <c r="I2" s="19" t="s">
        <v>29</v>
      </c>
      <c r="J2" s="19" t="s">
        <v>31</v>
      </c>
    </row>
    <row r="3" spans="1:10" x14ac:dyDescent="0.4">
      <c r="A3" s="21" t="s">
        <v>49</v>
      </c>
      <c r="B3" s="21"/>
      <c r="C3" s="21" t="s">
        <v>63</v>
      </c>
      <c r="D3" s="21">
        <v>25</v>
      </c>
      <c r="E3" s="21">
        <v>3</v>
      </c>
      <c r="F3" s="21">
        <v>3</v>
      </c>
      <c r="G3" s="22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22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23" t="str">
        <f t="shared" ref="I3:I13" si="0">IF(E3="","",
   IF(ISNUMBER(E3),
      IF(N(G3)/E3&gt;=1,"달성","미달성"),
      IF(E3=G3,"달성","미달성")
   )
)</f>
        <v>달성</v>
      </c>
      <c r="J3" s="23" t="str">
        <f t="shared" ref="J3:J13" si="1">IF(F3="","",
   IF(ISNUMBER(F3),
      IF(N(H3)/F3&gt;=1,"달성","미달성"),
      IF(F3=H3,"달성","미달성")
   )
)</f>
        <v>미달성</v>
      </c>
    </row>
    <row r="4" spans="1:10" x14ac:dyDescent="0.4">
      <c r="A4" s="21" t="s">
        <v>50</v>
      </c>
      <c r="B4" s="21"/>
      <c r="C4" s="21" t="s">
        <v>63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3" t="str">
        <f t="shared" si="0"/>
        <v>미달성</v>
      </c>
      <c r="J4" s="23" t="str">
        <f t="shared" si="1"/>
        <v>미달성</v>
      </c>
    </row>
    <row r="5" spans="1:10" x14ac:dyDescent="0.4">
      <c r="A5" s="21" t="s">
        <v>51</v>
      </c>
      <c r="B5" s="21"/>
      <c r="C5" s="21" t="s">
        <v>63</v>
      </c>
      <c r="D5" s="21"/>
      <c r="E5" s="21"/>
      <c r="F5" s="21">
        <v>1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3" t="str">
        <f t="shared" si="0"/>
        <v/>
      </c>
      <c r="J5" s="23" t="str">
        <f t="shared" si="1"/>
        <v>미달성</v>
      </c>
    </row>
    <row r="6" spans="1:10" x14ac:dyDescent="0.4">
      <c r="A6" s="21" t="s">
        <v>52</v>
      </c>
      <c r="B6" s="21"/>
      <c r="C6" s="21" t="s">
        <v>63</v>
      </c>
      <c r="D6" s="21">
        <v>1</v>
      </c>
      <c r="E6" s="21">
        <v>2</v>
      </c>
      <c r="F6" s="21">
        <v>2</v>
      </c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3" t="str">
        <f t="shared" si="0"/>
        <v>미달성</v>
      </c>
      <c r="J6" s="23" t="str">
        <f t="shared" si="1"/>
        <v>미달성</v>
      </c>
    </row>
    <row r="7" spans="1:10" x14ac:dyDescent="0.4">
      <c r="A7" s="21" t="s">
        <v>53</v>
      </c>
      <c r="B7" s="21"/>
      <c r="C7" s="21" t="s">
        <v>63</v>
      </c>
      <c r="D7" s="21"/>
      <c r="E7" s="21">
        <v>1</v>
      </c>
      <c r="F7" s="21">
        <v>3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3" t="str">
        <f t="shared" si="0"/>
        <v>미달성</v>
      </c>
      <c r="J7" s="23" t="str">
        <f t="shared" si="1"/>
        <v>미달성</v>
      </c>
    </row>
    <row r="8" spans="1:10" x14ac:dyDescent="0.4">
      <c r="A8" s="21" t="s">
        <v>54</v>
      </c>
      <c r="B8" s="21"/>
      <c r="C8" s="21" t="s">
        <v>63</v>
      </c>
      <c r="D8" s="21"/>
      <c r="E8" s="21"/>
      <c r="F8" s="21"/>
      <c r="G8" s="22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3" t="str">
        <f t="shared" si="0"/>
        <v/>
      </c>
      <c r="J8" s="23" t="str">
        <f t="shared" si="1"/>
        <v/>
      </c>
    </row>
    <row r="9" spans="1:10" x14ac:dyDescent="0.4">
      <c r="A9" s="21" t="s">
        <v>55</v>
      </c>
      <c r="B9" s="21"/>
      <c r="C9" s="21" t="s">
        <v>63</v>
      </c>
      <c r="D9" s="21"/>
      <c r="E9" s="21"/>
      <c r="F9" s="21">
        <v>4</v>
      </c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3" t="str">
        <f t="shared" si="0"/>
        <v/>
      </c>
      <c r="J9" s="23" t="str">
        <f t="shared" si="1"/>
        <v>미달성</v>
      </c>
    </row>
    <row r="10" spans="1:10" x14ac:dyDescent="0.4">
      <c r="A10" s="21" t="s">
        <v>56</v>
      </c>
      <c r="B10" s="21"/>
      <c r="C10" s="21" t="s">
        <v>63</v>
      </c>
      <c r="D10" s="21"/>
      <c r="E10" s="21"/>
      <c r="F10" s="21">
        <v>4</v>
      </c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3" t="str">
        <f t="shared" si="0"/>
        <v/>
      </c>
      <c r="J10" s="23" t="str">
        <f t="shared" si="1"/>
        <v>미달성</v>
      </c>
    </row>
    <row r="11" spans="1:10" x14ac:dyDescent="0.4">
      <c r="A11" s="21" t="s">
        <v>57</v>
      </c>
      <c r="B11" s="21"/>
      <c r="C11" s="21" t="s">
        <v>64</v>
      </c>
      <c r="D11" s="21">
        <v>15</v>
      </c>
      <c r="E11" s="21">
        <v>2</v>
      </c>
      <c r="F11" s="21">
        <v>4</v>
      </c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3" t="str">
        <f t="shared" si="0"/>
        <v>미달성</v>
      </c>
      <c r="J11" s="23" t="str">
        <f t="shared" si="1"/>
        <v>미달성</v>
      </c>
    </row>
    <row r="12" spans="1:10" x14ac:dyDescent="0.4">
      <c r="A12" s="21" t="s">
        <v>58</v>
      </c>
      <c r="B12" s="21"/>
      <c r="C12" s="21" t="s">
        <v>64</v>
      </c>
      <c r="D12" s="21"/>
      <c r="E12" s="21">
        <v>1</v>
      </c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3" t="str">
        <f t="shared" si="0"/>
        <v>미달성</v>
      </c>
      <c r="J12" s="23" t="str">
        <f t="shared" si="1"/>
        <v/>
      </c>
    </row>
    <row r="13" spans="1:10" x14ac:dyDescent="0.4">
      <c r="A13" s="21" t="s">
        <v>59</v>
      </c>
      <c r="B13" s="21"/>
      <c r="C13" s="21" t="s">
        <v>64</v>
      </c>
      <c r="D13" s="21"/>
      <c r="E13" s="21">
        <v>2</v>
      </c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3" t="str">
        <f t="shared" si="0"/>
        <v>미달성</v>
      </c>
      <c r="J13" s="23" t="str">
        <f t="shared" si="1"/>
        <v/>
      </c>
    </row>
    <row r="14" spans="1:10" x14ac:dyDescent="0.4">
      <c r="A14" s="21" t="s">
        <v>60</v>
      </c>
      <c r="B14" s="21"/>
      <c r="C14" s="21" t="s">
        <v>64</v>
      </c>
      <c r="D14" s="21"/>
      <c r="E14" s="21">
        <v>8</v>
      </c>
      <c r="F14" s="21">
        <v>1</v>
      </c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3"/>
      <c r="J14" s="23"/>
    </row>
    <row r="15" spans="1:10" x14ac:dyDescent="0.4">
      <c r="A15" s="21" t="s">
        <v>61</v>
      </c>
      <c r="B15" s="21"/>
      <c r="C15" s="21" t="s">
        <v>64</v>
      </c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3"/>
      <c r="J15" s="23"/>
    </row>
    <row r="16" spans="1:10" x14ac:dyDescent="0.4">
      <c r="A16" s="21" t="s">
        <v>62</v>
      </c>
      <c r="B16" s="21"/>
      <c r="C16" s="21" t="s">
        <v>64</v>
      </c>
      <c r="D16" s="21"/>
      <c r="E16" s="21">
        <v>1</v>
      </c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3"/>
      <c r="J16" s="23"/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3"/>
      <c r="J17" s="23"/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3"/>
      <c r="J18" s="23"/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3"/>
      <c r="J19" s="23"/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3"/>
      <c r="J20" s="23"/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3" t="str">
        <f>IF(E21="","",
   IF(ISNUMBER(E21),
      IF(N(G21)/E21&gt;=1,"달성","미달성"),
      IF(E21=G21,"달성","미달성")
   )
)</f>
        <v/>
      </c>
      <c r="J21" s="23" t="str">
        <f>IF(F21="","",
   IF(ISNUMBER(F21),
      IF(N(H21)/F21&gt;=1,"달성","미달성"),
      IF(F21=H21,"달성","미달성")
   )
)</f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3" t="str">
        <f>IF(E22="","",
   IF(ISNUMBER(E22),
      IF(N(G22)/E22&gt;=1,"달성","미달성"),
      IF(E22=G22,"달성","미달성")
   )
)</f>
        <v/>
      </c>
      <c r="J22" s="23" t="str">
        <f>IF(F22="","",
   IF(ISNUMBER(F22),
      IF(N(H22)/F22&gt;=1,"달성","미달성"),
      IF(F22=H22,"달성","미달성")
   )
)</f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3"/>
      <c r="J23" s="23"/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3"/>
      <c r="J24" s="23"/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3"/>
      <c r="J25" s="23"/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3"/>
      <c r="J26" s="23"/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3" t="str">
        <f t="shared" ref="I27:J31" si="2">IF(E27="","",
   IF(ISNUMBER(E27),
      IF(N(G27)/E27&gt;=1,"달성","미달성"),
      IF(E27=G27,"달성","미달성")
   )
)</f>
        <v/>
      </c>
      <c r="J27" s="23" t="str">
        <f t="shared" si="2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3" t="str">
        <f t="shared" si="2"/>
        <v/>
      </c>
      <c r="J28" s="23" t="str">
        <f t="shared" si="2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3" t="str">
        <f t="shared" si="2"/>
        <v/>
      </c>
      <c r="J29" s="23" t="str">
        <f t="shared" si="2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3" t="str">
        <f t="shared" si="2"/>
        <v/>
      </c>
      <c r="J30" s="23" t="str">
        <f t="shared" si="2"/>
        <v/>
      </c>
    </row>
    <row r="31" spans="1:10" x14ac:dyDescent="0.4">
      <c r="A31" s="21" t="s">
        <v>14</v>
      </c>
      <c r="B31" s="21"/>
      <c r="C31" s="21"/>
      <c r="D31" s="21">
        <f>SUM(D3:D30)</f>
        <v>56</v>
      </c>
      <c r="E31" s="21"/>
      <c r="F31" s="21"/>
      <c r="G31" s="22" t="str" cm="1">
        <f t="array" ref="G31">IFERROR(IF(ISNUMBER(INDEX([1]정량지표상세!$C$2:$C$24, MATCH(1, ([1]정량지표상세!$A$2:$A$24=$A31) * ([1]정량지표상세!$B$2:$B$24=G$2), 0))),
    SUMIFS([1]정량지표상세!$C$2:$C$24, [1]정량지표상세!$A$2:$A$24, $A31, [1]정량지표상세!$B$2:$B$24, G$2),
    INDEX([1]정량지표상세!$C$2:$C$24, MATCH(1, ([1]정량지표상세!$A$2:$A$24=$A31) * ([1]정량지표상세!$B$2:$B$24=G$2), 0))),"")</f>
        <v/>
      </c>
      <c r="H31" s="22" t="str" cm="1">
        <f t="array" ref="H31">IFERROR(IF(ISNUMBER(INDEX([1]정량지표상세!$C$2:$C$24, MATCH(1, ([1]정량지표상세!$A$2:$A$24=$A31) * ([1]정량지표상세!$B$2:$B$24=H$2), 0))),
    SUMIFS([1]정량지표상세!$C$2:$C$24, [1]정량지표상세!$A$2:$A$24, $A31, [1]정량지표상세!$B$2:$B$24, H$2),
    INDEX([1]정량지표상세!$C$2:$C$24, MATCH(1, ([1]정량지표상세!$A$2:$A$24=$A31) * ([1]정량지표상세!$B$2:$B$24=H$2), 0))),"")</f>
        <v/>
      </c>
      <c r="I31" s="23" t="str">
        <f t="shared" si="2"/>
        <v/>
      </c>
      <c r="J31" s="23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I3:J31">
    <cfRule type="cellIs" dxfId="23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opLeftCell="A2" workbookViewId="0">
      <selection sqref="A1:XFD1048576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5" x14ac:dyDescent="0.4">
      <c r="A1" s="16" t="s">
        <v>80</v>
      </c>
      <c r="B1" s="16" t="s">
        <v>15</v>
      </c>
      <c r="C1" s="16" t="s">
        <v>16</v>
      </c>
      <c r="D1" s="16" t="s">
        <v>12</v>
      </c>
    </row>
    <row r="2" spans="1:5" ht="21.6" x14ac:dyDescent="0.4">
      <c r="A2" s="18" t="s">
        <v>49</v>
      </c>
      <c r="B2" s="18" t="s">
        <v>29</v>
      </c>
      <c r="C2" s="18">
        <v>1</v>
      </c>
      <c r="D2" s="18" t="s">
        <v>67</v>
      </c>
      <c r="E2" s="17" t="s">
        <v>68</v>
      </c>
    </row>
    <row r="3" spans="1:5" ht="21.6" x14ac:dyDescent="0.4">
      <c r="A3" s="18" t="s">
        <v>49</v>
      </c>
      <c r="B3" s="18" t="s">
        <v>29</v>
      </c>
      <c r="C3" s="18">
        <v>1</v>
      </c>
      <c r="D3" s="18" t="s">
        <v>69</v>
      </c>
      <c r="E3" s="17" t="s">
        <v>70</v>
      </c>
    </row>
    <row r="4" spans="1:5" ht="21.6" x14ac:dyDescent="0.4">
      <c r="A4" s="18" t="s">
        <v>49</v>
      </c>
      <c r="B4" s="18" t="s">
        <v>29</v>
      </c>
      <c r="C4" s="18">
        <v>1</v>
      </c>
      <c r="D4" s="18" t="s">
        <v>69</v>
      </c>
      <c r="E4" s="17" t="s">
        <v>71</v>
      </c>
    </row>
    <row r="5" spans="1:5" ht="21.6" x14ac:dyDescent="0.4">
      <c r="A5" s="18" t="s">
        <v>49</v>
      </c>
      <c r="B5" s="18" t="s">
        <v>29</v>
      </c>
      <c r="C5" s="18">
        <v>1</v>
      </c>
      <c r="D5" s="18" t="s">
        <v>67</v>
      </c>
      <c r="E5" s="17" t="s">
        <v>72</v>
      </c>
    </row>
    <row r="6" spans="1:5" ht="21.6" x14ac:dyDescent="0.4">
      <c r="A6" s="18" t="s">
        <v>49</v>
      </c>
      <c r="B6" s="18" t="s">
        <v>29</v>
      </c>
      <c r="C6" s="18">
        <v>1</v>
      </c>
      <c r="D6" s="18" t="s">
        <v>67</v>
      </c>
      <c r="E6" s="17" t="s">
        <v>73</v>
      </c>
    </row>
    <row r="7" spans="1:5" ht="21.6" x14ac:dyDescent="0.4">
      <c r="A7" s="18" t="s">
        <v>49</v>
      </c>
      <c r="B7" s="18" t="s">
        <v>29</v>
      </c>
      <c r="C7" s="18">
        <v>1</v>
      </c>
      <c r="D7" s="18" t="s">
        <v>67</v>
      </c>
      <c r="E7" s="17" t="s">
        <v>74</v>
      </c>
    </row>
    <row r="8" spans="1:5" ht="21.6" x14ac:dyDescent="0.4">
      <c r="A8" s="18" t="s">
        <v>49</v>
      </c>
      <c r="B8" s="18" t="s">
        <v>29</v>
      </c>
      <c r="C8" s="18">
        <v>1</v>
      </c>
      <c r="D8" s="18" t="s">
        <v>67</v>
      </c>
      <c r="E8" s="17" t="s">
        <v>75</v>
      </c>
    </row>
    <row r="9" spans="1:5" ht="21.6" x14ac:dyDescent="0.4">
      <c r="A9" s="18" t="s">
        <v>49</v>
      </c>
      <c r="B9" s="18" t="s">
        <v>29</v>
      </c>
      <c r="C9" s="18">
        <v>1</v>
      </c>
      <c r="D9" s="18" t="s">
        <v>76</v>
      </c>
      <c r="E9" s="17" t="s">
        <v>77</v>
      </c>
    </row>
    <row r="10" spans="1:5" ht="21.6" x14ac:dyDescent="0.4">
      <c r="A10" s="18" t="s">
        <v>49</v>
      </c>
      <c r="B10" s="18" t="s">
        <v>31</v>
      </c>
      <c r="C10" s="18">
        <v>1</v>
      </c>
      <c r="D10" s="18" t="s">
        <v>69</v>
      </c>
      <c r="E10" s="17" t="s">
        <v>78</v>
      </c>
    </row>
    <row r="11" spans="1:5" ht="21.6" x14ac:dyDescent="0.4">
      <c r="A11" s="18" t="s">
        <v>49</v>
      </c>
      <c r="B11" s="18" t="s">
        <v>31</v>
      </c>
      <c r="C11" s="18">
        <v>1</v>
      </c>
      <c r="D11" s="18" t="s">
        <v>67</v>
      </c>
      <c r="E11" s="17" t="s">
        <v>68</v>
      </c>
    </row>
    <row r="12" spans="1:5" ht="21.6" x14ac:dyDescent="0.4">
      <c r="A12" s="18" t="s">
        <v>54</v>
      </c>
      <c r="B12" s="18" t="s">
        <v>29</v>
      </c>
      <c r="C12" s="18">
        <v>1</v>
      </c>
      <c r="D12" s="18" t="s">
        <v>76</v>
      </c>
      <c r="E12" s="17" t="s">
        <v>79</v>
      </c>
    </row>
    <row r="13" spans="1:5" ht="21.6" x14ac:dyDescent="0.4">
      <c r="A13" s="18" t="s">
        <v>54</v>
      </c>
      <c r="B13" s="18" t="s">
        <v>29</v>
      </c>
      <c r="C13" s="18">
        <v>1</v>
      </c>
      <c r="D13" s="18" t="s">
        <v>76</v>
      </c>
      <c r="E13" s="17" t="s">
        <v>79</v>
      </c>
    </row>
    <row r="14" spans="1:5" ht="21.6" x14ac:dyDescent="0.4">
      <c r="A14" s="18" t="s">
        <v>54</v>
      </c>
      <c r="B14" s="18" t="s">
        <v>29</v>
      </c>
      <c r="C14" s="18">
        <v>1</v>
      </c>
      <c r="D14" s="18" t="s">
        <v>76</v>
      </c>
      <c r="E14" s="17" t="s">
        <v>79</v>
      </c>
    </row>
    <row r="15" spans="1:5" ht="21.6" x14ac:dyDescent="0.4">
      <c r="A15" s="18" t="s">
        <v>54</v>
      </c>
      <c r="B15" s="18" t="s">
        <v>29</v>
      </c>
      <c r="C15" s="18">
        <v>1</v>
      </c>
      <c r="D15" s="18" t="s">
        <v>76</v>
      </c>
      <c r="E15" s="17" t="s">
        <v>79</v>
      </c>
    </row>
    <row r="16" spans="1:5" ht="21.6" x14ac:dyDescent="0.4">
      <c r="A16" s="18" t="s">
        <v>54</v>
      </c>
      <c r="B16" s="18" t="s">
        <v>29</v>
      </c>
      <c r="C16" s="18">
        <v>1</v>
      </c>
      <c r="D16" s="18" t="s">
        <v>76</v>
      </c>
      <c r="E16" s="17" t="s">
        <v>79</v>
      </c>
    </row>
    <row r="17" spans="1:5" ht="21.6" x14ac:dyDescent="0.4">
      <c r="A17" s="18" t="s">
        <v>54</v>
      </c>
      <c r="B17" s="18" t="s">
        <v>29</v>
      </c>
      <c r="C17" s="18">
        <v>1</v>
      </c>
      <c r="D17" s="18" t="s">
        <v>76</v>
      </c>
      <c r="E17" s="17" t="s">
        <v>79</v>
      </c>
    </row>
    <row r="18" spans="1:5" ht="21.6" x14ac:dyDescent="0.4">
      <c r="A18" s="18" t="s">
        <v>54</v>
      </c>
      <c r="B18" s="18" t="s">
        <v>29</v>
      </c>
      <c r="C18" s="18">
        <v>1</v>
      </c>
      <c r="D18" s="18" t="s">
        <v>76</v>
      </c>
      <c r="E18" s="17" t="s">
        <v>79</v>
      </c>
    </row>
    <row r="19" spans="1:5" ht="21.6" x14ac:dyDescent="0.4">
      <c r="A19" s="18" t="s">
        <v>54</v>
      </c>
      <c r="B19" s="18" t="s">
        <v>29</v>
      </c>
      <c r="C19" s="18">
        <v>1</v>
      </c>
      <c r="D19" s="18" t="s">
        <v>76</v>
      </c>
      <c r="E19" s="17" t="s">
        <v>79</v>
      </c>
    </row>
    <row r="20" spans="1:5" ht="21.6" x14ac:dyDescent="0.4">
      <c r="A20" s="18" t="s">
        <v>54</v>
      </c>
      <c r="B20" s="18" t="s">
        <v>29</v>
      </c>
      <c r="C20" s="18">
        <v>1</v>
      </c>
      <c r="D20" s="18" t="s">
        <v>76</v>
      </c>
      <c r="E20" s="17" t="s">
        <v>79</v>
      </c>
    </row>
    <row r="21" spans="1:5" ht="21.6" x14ac:dyDescent="0.4">
      <c r="A21" s="18" t="s">
        <v>54</v>
      </c>
      <c r="B21" s="18" t="s">
        <v>29</v>
      </c>
      <c r="C21" s="18">
        <v>1</v>
      </c>
      <c r="D21" s="18" t="s">
        <v>76</v>
      </c>
      <c r="E21" s="17" t="s">
        <v>79</v>
      </c>
    </row>
    <row r="22" spans="1:5" ht="21.6" x14ac:dyDescent="0.4">
      <c r="A22" s="18" t="s">
        <v>54</v>
      </c>
      <c r="B22" s="18" t="s">
        <v>29</v>
      </c>
      <c r="C22" s="18">
        <v>1</v>
      </c>
      <c r="D22" s="18" t="s">
        <v>76</v>
      </c>
      <c r="E22" s="17" t="s">
        <v>79</v>
      </c>
    </row>
    <row r="23" spans="1:5" ht="21.6" x14ac:dyDescent="0.4">
      <c r="A23" s="18" t="s">
        <v>54</v>
      </c>
      <c r="B23" s="18" t="s">
        <v>29</v>
      </c>
      <c r="C23" s="18">
        <v>1</v>
      </c>
      <c r="D23" s="18" t="s">
        <v>76</v>
      </c>
      <c r="E23" s="17" t="s">
        <v>79</v>
      </c>
    </row>
    <row r="24" spans="1:5" x14ac:dyDescent="0.4">
      <c r="A24" s="18"/>
      <c r="B24" s="18"/>
      <c r="C24" s="18"/>
      <c r="D24" s="18"/>
    </row>
    <row r="25" spans="1:5" x14ac:dyDescent="0.4">
      <c r="A25" s="18"/>
      <c r="B25" s="18"/>
      <c r="C25" s="18"/>
      <c r="D25" s="18"/>
    </row>
    <row r="26" spans="1:5" x14ac:dyDescent="0.4">
      <c r="A26" s="18"/>
      <c r="B26" s="18"/>
      <c r="C26" s="18"/>
      <c r="D26" s="18"/>
    </row>
    <row r="27" spans="1:5" x14ac:dyDescent="0.4">
      <c r="A27" s="18"/>
      <c r="B27" s="18"/>
      <c r="C27" s="18"/>
      <c r="D27" s="18"/>
    </row>
    <row r="28" spans="1:5" x14ac:dyDescent="0.4">
      <c r="A28" s="18"/>
      <c r="B28" s="18"/>
      <c r="C28" s="18"/>
      <c r="D28" s="18"/>
    </row>
    <row r="29" spans="1:5" x14ac:dyDescent="0.4">
      <c r="A29" s="18"/>
      <c r="B29" s="18"/>
      <c r="C29" s="18"/>
      <c r="D29" s="18"/>
    </row>
    <row r="30" spans="1:5" x14ac:dyDescent="0.4">
      <c r="A30" s="18"/>
      <c r="B30" s="18"/>
      <c r="C30" s="18"/>
      <c r="D30" s="18"/>
    </row>
    <row r="31" spans="1:5" x14ac:dyDescent="0.4">
      <c r="A31" s="18"/>
      <c r="B31" s="18"/>
      <c r="C31" s="18"/>
      <c r="D31" s="18"/>
    </row>
    <row r="32" spans="1:5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22" priority="1">
      <formula>OR($B2="2단계 3연차", $B2="3단계 3연차")</formula>
    </cfRule>
    <cfRule type="expression" dxfId="21" priority="2">
      <formula>OR($B2="2단계 2연차", $B2="3단계 2연차")</formula>
    </cfRule>
    <cfRule type="expression" dxfId="20" priority="3">
      <formula>OR($B2="2단계 1연차", $B2="3단계 1연차")</formula>
    </cfRule>
    <cfRule type="expression" dxfId="19" priority="4">
      <formula>OR($B2="0단계 3연차", $B2="1단계 3연차")</formula>
    </cfRule>
    <cfRule type="expression" dxfId="18" priority="5">
      <formula>OR($B2="0단계 2연차", $B2="1단계 2연차")</formula>
    </cfRule>
    <cfRule type="expression" dxfId="17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2026-06-02T06:39:15Z</dcterms:modified>
  <cp:category/>
  <cp:contentStatus/>
</cp:coreProperties>
</file>