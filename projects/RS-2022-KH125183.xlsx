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5E6BBBD4-9AB7-4AE3-9419-DE801D036094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externalReferences>
    <externalReference r:id="rId5"/>
  </externalReference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<sst xmlns="http://schemas.openxmlformats.org/spreadsheetml/2006/main" count="241" uniqueCount="128">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</sst>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3" dataDxfId="34" headerRowCellStyle="쉼표 [0]" dataCellStyle="쉼표 [0]">
  <autoFilter ref="G1:G2" xr:uid="{1B850819-6720-48E0-AF35-0B2D5691CEB6}"/>
  <tableColumns count="1">
    <tableColumn id="1" xr3:uid="{A6E6044B-92D8-4A8F-B3A7-A12C3877F860}" name="열1" dataDxfId="35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0">
  <autoFilter ref="A1:B15" xr:uid="{421F53E0-88B3-4702-8C50-E1E3AE1553DD}"/>
  <tableColumns count="2">
    <tableColumn id="1" xr3:uid="{6811B6BA-68EB-4A27-A5E8-74F7CC48B115}" uniqueName="1" name="Column1" queryTableFieldId="1" dataDxfId="32"/>
    <tableColumn id="2" xr3:uid="{F32A2F07-1052-46EA-952E-C55D4AB75C8F}" uniqueName="2" name="Column2" queryTableFieldId="2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0" dataDxfId="1">
  <autoFilter ref="A17:O24" xr:uid="{B0BF082F-53F9-49B7-A45C-1EB1A783B071}"/>
  <tableColumns count="15">
    <tableColumn id="1" xr3:uid="{0F2914C2-C8B3-46C6-8A0C-A7E5AABE2418}" uniqueName="1" name="Column1" queryTableFieldId="1" dataDxfId="16"/>
    <tableColumn id="2" xr3:uid="{DC2A9131-7E27-4762-A033-0B0B6BB80A79}" uniqueName="2" name="Column2" queryTableFieldId="2" dataDxfId="15"/>
    <tableColumn id="3" xr3:uid="{15B8A075-924A-4F77-9C39-E818235BEA69}" uniqueName="3" name="Column3" queryTableFieldId="3" dataDxfId="14"/>
    <tableColumn id="4" xr3:uid="{E3526574-E136-4A27-B9D6-AB1EC078A604}" uniqueName="4" name="Column4" queryTableFieldId="4" dataDxfId="13"/>
    <tableColumn id="5" xr3:uid="{86C3A118-E22D-467A-A8C6-3B8FD0D5B8B2}" uniqueName="5" name="Column5" queryTableFieldId="5" dataDxfId="12" dataCellStyle="쉼표 [0]"/>
    <tableColumn id="6" xr3:uid="{F75D7DA7-D7FD-4922-8064-F907DAA3A629}" uniqueName="6" name="Column6" queryTableFieldId="6" dataDxfId="11"/>
    <tableColumn id="7" xr3:uid="{BE8AED2F-4E5E-4A36-AAB9-E3E95C0441AE}" uniqueName="7" name="Column7" queryTableFieldId="7" dataDxfId="10" dataCellStyle="쉼표 [0]"/>
    <tableColumn id="8" xr3:uid="{D3ED56F8-218D-4082-B99D-25694FAC2CD5}" uniqueName="8" name="Column8" queryTableFieldId="8" dataDxfId="9"/>
    <tableColumn id="9" xr3:uid="{368D1A99-AE6F-4D23-96A3-EBC8D664866C}" uniqueName="9" name="Column9" queryTableFieldId="9" dataDxfId="8"/>
    <tableColumn id="10" xr3:uid="{9CE2C289-F616-4094-A439-4984025E56F8}" uniqueName="10" name="Column10" queryTableFieldId="10" dataDxfId="7"/>
    <tableColumn id="11" xr3:uid="{394D2E84-2C7D-4F3C-925C-38115EEC6C64}" uniqueName="11" name="Column11" queryTableFieldId="11" dataDxfId="6"/>
    <tableColumn id="12" xr3:uid="{6F0B6F7A-B763-4899-8B03-00F5DD6AC656}" uniqueName="12" name="Column12" queryTableFieldId="12" dataDxfId="5"/>
    <tableColumn id="13" xr3:uid="{5D17574F-781C-436D-B6FB-9133EC1A1923}" uniqueName="13" name="Column13" queryTableFieldId="13" dataDxfId="4"/>
    <tableColumn id="14" xr3:uid="{D98EE9A7-E736-42AD-B910-87D62615A8DB}" uniqueName="14" name="Column14" queryTableFieldId="14" dataDxfId="3"/>
    <tableColumn id="15" xr3:uid="{A00C3AD1-0E3B-4314-98C9-8AD000C39263}" uniqueName="15" name="Column15" queryTableFieldId="1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E13" sqref="E13"/>
    </sheetView>
  </sheetViews>
  <sheetFormatPr defaultColWidth="17.59765625" defaultRowHeight="15" customHeight="1" x14ac:dyDescent="0.4"/>
  <cols>
    <col min="1" max="1" width="11.296875" style="1" bestFit="1" customWidth="1"/>
    <col min="2" max="3" width="10.8984375" style="1" bestFit="1" customWidth="1"/>
    <col min="4" max="4" width="8.796875" style="1" bestFit="1" customWidth="1"/>
    <col min="5" max="5" width="11.69921875" style="2" bestFit="1" customWidth="1"/>
    <col min="6" max="6" width="15.59765625" style="3" bestFit="1" customWidth="1"/>
    <col min="7" max="7" width="11.69921875" style="4" bestFit="1" customWidth="1"/>
    <col min="8" max="9" width="15.59765625" style="1" bestFit="1" customWidth="1"/>
    <col min="10" max="10" width="13.19921875" style="1" bestFit="1" customWidth="1"/>
    <col min="11" max="11" width="12.796875" style="1" bestFit="1" customWidth="1"/>
    <col min="12" max="12" width="11.69921875" style="1" bestFit="1" customWidth="1"/>
    <col min="13" max="13" width="12.796875" style="1" bestFit="1" customWidth="1"/>
    <col min="14" max="14" width="14.3984375" style="1" bestFit="1" customWidth="1"/>
    <col min="15" max="15" width="9.79687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31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32" t="s">
        <v>102</v>
      </c>
      <c r="F17" s="5" t="s">
        <v>103</v>
      </c>
      <c r="G17" s="33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31">
        <v>44652</v>
      </c>
      <c r="C19" s="31">
        <v>44926</v>
      </c>
      <c r="D19">
        <v>9</v>
      </c>
      <c r="E19" s="34">
        <v>0</v>
      </c>
      <c r="F19" s="34">
        <v>40000000</v>
      </c>
      <c r="G19" s="34"/>
      <c r="H19" s="34">
        <v>1334000</v>
      </c>
      <c r="I19" s="34">
        <v>12000000</v>
      </c>
      <c r="J19" s="34">
        <v>13334000</v>
      </c>
      <c r="K19" s="34">
        <v>41334000</v>
      </c>
      <c r="L19" s="34">
        <v>12000000</v>
      </c>
      <c r="M19" s="34">
        <v>53334000</v>
      </c>
      <c r="N19" s="34">
        <v>260000000</v>
      </c>
      <c r="O19" s="34"/>
    </row>
    <row r="20" spans="1:15" ht="17.399999999999999" x14ac:dyDescent="0.4">
      <c r="A20" t="s">
        <v>28</v>
      </c>
      <c r="B20" s="31">
        <v>44927</v>
      </c>
      <c r="C20" s="31">
        <v>45291</v>
      </c>
      <c r="D20">
        <v>12</v>
      </c>
      <c r="E20" s="34">
        <v>1300000</v>
      </c>
      <c r="F20" s="34">
        <v>50000000</v>
      </c>
      <c r="G20" s="34"/>
      <c r="H20" s="34">
        <v>1667000</v>
      </c>
      <c r="I20" s="34">
        <v>15000000</v>
      </c>
      <c r="J20" s="34">
        <v>16667000</v>
      </c>
      <c r="K20" s="34">
        <v>51667000</v>
      </c>
      <c r="L20" s="34">
        <v>15000000</v>
      </c>
      <c r="M20" s="34">
        <v>66667000</v>
      </c>
      <c r="N20" s="34">
        <v>350000000</v>
      </c>
      <c r="O20" s="34"/>
    </row>
    <row r="21" spans="1:15" ht="17.399999999999999" x14ac:dyDescent="0.4">
      <c r="A21" t="s">
        <v>29</v>
      </c>
      <c r="B21" s="31">
        <v>45292</v>
      </c>
      <c r="C21" s="31">
        <v>45657</v>
      </c>
      <c r="D21">
        <v>12</v>
      </c>
      <c r="E21" s="34">
        <v>7825620</v>
      </c>
      <c r="F21" s="34">
        <v>50000000</v>
      </c>
      <c r="G21" s="34"/>
      <c r="H21" s="34">
        <v>1667000</v>
      </c>
      <c r="I21" s="34">
        <v>15000000</v>
      </c>
      <c r="J21" s="34">
        <v>16667000</v>
      </c>
      <c r="K21" s="34">
        <v>51667000</v>
      </c>
      <c r="L21" s="34">
        <v>15000000</v>
      </c>
      <c r="M21" s="34">
        <v>66667000</v>
      </c>
      <c r="N21" s="34">
        <v>350000000</v>
      </c>
      <c r="O21" s="34"/>
    </row>
    <row r="22" spans="1:15" ht="17.399999999999999" x14ac:dyDescent="0.4">
      <c r="A22" t="s">
        <v>30</v>
      </c>
      <c r="B22" s="31">
        <v>45658</v>
      </c>
      <c r="C22" s="31">
        <v>46022</v>
      </c>
      <c r="D22">
        <v>12</v>
      </c>
      <c r="E22" s="34">
        <v>16558661</v>
      </c>
      <c r="F22" s="34">
        <v>50000000</v>
      </c>
      <c r="G22" s="34"/>
      <c r="H22" s="34">
        <v>1667000</v>
      </c>
      <c r="I22" s="34">
        <v>15000000</v>
      </c>
      <c r="J22" s="34">
        <v>16667000</v>
      </c>
      <c r="K22" s="34">
        <v>51667000</v>
      </c>
      <c r="L22" s="34">
        <v>15000000</v>
      </c>
      <c r="M22" s="34">
        <v>66667000</v>
      </c>
      <c r="N22" s="34">
        <v>350000000</v>
      </c>
      <c r="O22" s="34"/>
    </row>
    <row r="23" spans="1:15" ht="17.399999999999999" x14ac:dyDescent="0.4">
      <c r="A23" t="s">
        <v>31</v>
      </c>
      <c r="B23" s="31">
        <v>46023</v>
      </c>
      <c r="C23" s="31">
        <v>46387</v>
      </c>
      <c r="D23">
        <v>12</v>
      </c>
      <c r="E23" s="34">
        <v>45705131</v>
      </c>
      <c r="F23" s="34">
        <v>45000000</v>
      </c>
      <c r="G23" s="34"/>
      <c r="H23" s="34">
        <v>1500000</v>
      </c>
      <c r="I23" s="34">
        <v>13500000</v>
      </c>
      <c r="J23" s="34">
        <v>15000000</v>
      </c>
      <c r="K23" s="34">
        <v>46500000</v>
      </c>
      <c r="L23" s="34">
        <v>13500000</v>
      </c>
      <c r="M23" s="34">
        <v>60000000</v>
      </c>
      <c r="N23" s="34">
        <v>350000000</v>
      </c>
      <c r="O23" s="34"/>
    </row>
    <row r="24" spans="1:15" ht="17.399999999999999" x14ac:dyDescent="0.4">
      <c r="A24" t="s">
        <v>127</v>
      </c>
      <c r="B24"/>
      <c r="C24"/>
      <c r="D24">
        <v>57</v>
      </c>
      <c r="E24" s="34">
        <v>0</v>
      </c>
      <c r="F24" s="34">
        <v>235000000</v>
      </c>
      <c r="G24" s="34">
        <v>0</v>
      </c>
      <c r="H24" s="34">
        <v>7835000</v>
      </c>
      <c r="I24" s="34">
        <v>70500000</v>
      </c>
      <c r="J24" s="34">
        <v>78335000</v>
      </c>
      <c r="K24" s="34">
        <v>242835000</v>
      </c>
      <c r="L24" s="34">
        <v>70500000</v>
      </c>
      <c r="M24" s="34">
        <v>313335000</v>
      </c>
      <c r="N24" s="34">
        <v>1660000000</v>
      </c>
      <c r="O24" s="34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4" t="s">
        <v>3</v>
      </c>
      <c r="E1" s="24"/>
      <c r="F1" s="25" t="s">
        <v>4</v>
      </c>
      <c r="G1" s="25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9" priority="1">
      <formula>OR($C3="2단계 3연차", $C3="3단계 3연차")</formula>
    </cfRule>
    <cfRule type="expression" dxfId="28" priority="2">
      <formula>OR($C3="2단계 2연차", $C3="3단계 2연차")</formula>
    </cfRule>
    <cfRule type="expression" dxfId="27" priority="3">
      <formula>OR($C3="2단계 1연차", $C3="3단계 1연차")</formula>
    </cfRule>
    <cfRule type="expression" dxfId="26" priority="4">
      <formula>OR($C3="0단계 3연차", $C3="1단계 3연차")</formula>
    </cfRule>
    <cfRule type="expression" dxfId="25" priority="5">
      <formula>OR($C3="0단계 2연차", $C3="1단계 2연차")</formula>
    </cfRule>
    <cfRule type="expression" dxfId="24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16" sqref="A16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6" t="s">
        <v>8</v>
      </c>
      <c r="B1" s="26" t="s">
        <v>9</v>
      </c>
      <c r="C1" s="26" t="s">
        <v>10</v>
      </c>
      <c r="D1" s="26" t="s">
        <v>11</v>
      </c>
      <c r="E1" s="29" t="s">
        <v>17</v>
      </c>
      <c r="F1" s="30"/>
      <c r="G1" s="29" t="s">
        <v>16</v>
      </c>
      <c r="H1" s="30"/>
      <c r="I1" s="28" t="s">
        <v>13</v>
      </c>
      <c r="J1" s="28"/>
    </row>
    <row r="2" spans="1:10" x14ac:dyDescent="0.4">
      <c r="A2" s="27"/>
      <c r="B2" s="27"/>
      <c r="C2" s="27"/>
      <c r="D2" s="27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22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23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22" priority="1">
      <formula>OR($B2="2단계 3연차", $B2="3단계 3연차")</formula>
    </cfRule>
    <cfRule type="expression" dxfId="21" priority="2">
      <formula>OR($B2="2단계 2연차", $B2="3단계 2연차")</formula>
    </cfRule>
    <cfRule type="expression" dxfId="20" priority="3">
      <formula>OR($B2="2단계 1연차", $B2="3단계 1연차")</formula>
    </cfRule>
    <cfRule type="expression" dxfId="19" priority="4">
      <formula>OR($B2="0단계 3연차", $B2="1단계 3연차")</formula>
    </cfRule>
    <cfRule type="expression" dxfId="18" priority="5">
      <formula>OR($B2="0단계 2연차", $B2="1단계 2연차")</formula>
    </cfRule>
    <cfRule type="expression" dxfId="17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2026-06-02T06:35:34Z</dcterms:modified>
  <cp:category/>
  <cp:contentStatus/>
</cp:coreProperties>
</file>