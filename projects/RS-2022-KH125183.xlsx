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ilot\프로젝트관리\projects\"/>
    </mc:Choice>
  </mc:AlternateContent>
  <xr:revisionPtr revIDLastSave="0" documentId="13_ncr:1_{BD078E15-FF9A-49AE-A3C0-EF30288C1746}" xr6:coauthVersionLast="47" xr6:coauthVersionMax="47" xr10:uidLastSave="{00000000-0000-0000-0000-000000000000}"/>
  <bookViews>
    <workbookView xWindow="37155" yWindow="1080" windowWidth="17280" windowHeight="8880" activeTab="3" xr2:uid="{B8D78CEB-D3AC-4A62-AA68-81CAD437EBFB}"/>
  </bookViews>
  <sheets>
    <sheet name="개요" sheetId="2" r:id="rId1"/>
    <sheet name="사업비" sheetId="3" r:id="rId2"/>
    <sheet name="마일스톤" sheetId="4" r:id="rId3"/>
    <sheet name="정량지표" sheetId="5" r:id="rId4"/>
    <sheet name="정량지표상세" sheetId="6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5" l="1" a="1"/>
  <c r="G4" i="5" s="1"/>
  <c r="H4" i="5" a="1"/>
  <c r="H4" i="5" s="1"/>
  <c r="G5" i="5" a="1"/>
  <c r="G5" i="5" s="1"/>
  <c r="H5" i="5" a="1"/>
  <c r="H5" i="5" s="1"/>
  <c r="G6" i="5" a="1"/>
  <c r="G6" i="5" s="1"/>
  <c r="H6" i="5" a="1"/>
  <c r="H6" i="5" s="1"/>
  <c r="G7" i="5" a="1"/>
  <c r="G7" i="5" s="1"/>
  <c r="H7" i="5" a="1"/>
  <c r="H7" i="5" s="1"/>
  <c r="G8" i="5" a="1"/>
  <c r="G8" i="5" s="1"/>
  <c r="H8" i="5" a="1"/>
  <c r="H8" i="5" s="1"/>
  <c r="G9" i="5" a="1"/>
  <c r="G9" i="5" s="1"/>
  <c r="H9" i="5" a="1"/>
  <c r="H9" i="5" s="1"/>
  <c r="G10" i="5" a="1"/>
  <c r="G10" i="5" s="1"/>
  <c r="H10" i="5" a="1"/>
  <c r="H10" i="5" s="1"/>
  <c r="G11" i="5" a="1"/>
  <c r="G11" i="5" s="1"/>
  <c r="H11" i="5" a="1"/>
  <c r="H11" i="5" s="1"/>
  <c r="G12" i="5" a="1"/>
  <c r="G12" i="5" s="1"/>
  <c r="H12" i="5" a="1"/>
  <c r="H12" i="5" s="1"/>
  <c r="G13" i="5" a="1"/>
  <c r="G13" i="5" s="1"/>
  <c r="H13" i="5" a="1"/>
  <c r="H13" i="5" s="1"/>
  <c r="G14" i="5" a="1"/>
  <c r="G14" i="5" s="1"/>
  <c r="H14" i="5" a="1"/>
  <c r="H14" i="5" s="1"/>
  <c r="G15" i="5" a="1"/>
  <c r="G15" i="5" s="1"/>
  <c r="H15" i="5" a="1"/>
  <c r="H15" i="5" s="1"/>
  <c r="G16" i="5" a="1"/>
  <c r="G16" i="5" s="1"/>
  <c r="H16" i="5" a="1"/>
  <c r="H16" i="5" s="1"/>
  <c r="G17" i="5" a="1"/>
  <c r="G17" i="5" s="1"/>
  <c r="H17" i="5" a="1"/>
  <c r="H17" i="5" s="1"/>
  <c r="H3" i="5" a="1"/>
  <c r="H3" i="5" s="1"/>
  <c r="G3" i="5" a="1"/>
  <c r="G3" i="5" s="1"/>
  <c r="J17" i="5" l="1"/>
  <c r="I17" i="5"/>
  <c r="J16" i="5"/>
  <c r="I16" i="5"/>
  <c r="J15" i="5"/>
  <c r="I15" i="5"/>
  <c r="J14" i="5"/>
  <c r="I14" i="5"/>
  <c r="J13" i="5"/>
  <c r="I13" i="5"/>
  <c r="J12" i="5"/>
  <c r="I12" i="5"/>
  <c r="J11" i="5"/>
  <c r="I11" i="5"/>
  <c r="I10" i="5"/>
  <c r="J10" i="5"/>
  <c r="I9" i="5"/>
  <c r="J9" i="5"/>
  <c r="J8" i="5"/>
  <c r="I8" i="5"/>
  <c r="J7" i="5"/>
  <c r="I7" i="5"/>
  <c r="J6" i="5"/>
  <c r="I6" i="5"/>
  <c r="I5" i="5"/>
  <c r="J5" i="5"/>
  <c r="J4" i="5"/>
  <c r="I4" i="5"/>
  <c r="J3" i="5"/>
  <c r="I3" i="5"/>
  <c r="O7" i="3"/>
  <c r="K7" i="3"/>
  <c r="I7" i="3"/>
  <c r="H7" i="3"/>
  <c r="G7" i="3"/>
  <c r="F7" i="3"/>
  <c r="E7" i="3" a="1"/>
  <c r="E7" i="3" s="1"/>
  <c r="N6" i="3"/>
  <c r="L6" i="3"/>
  <c r="M6" i="3" s="1"/>
  <c r="K6" i="3"/>
  <c r="J6" i="3"/>
  <c r="E6" i="3" a="1"/>
  <c r="E6" i="3" s="1"/>
  <c r="D6" i="3"/>
  <c r="N5" i="3"/>
  <c r="L5" i="3"/>
  <c r="M5" i="3" s="1"/>
  <c r="K5" i="3"/>
  <c r="J5" i="3"/>
  <c r="E5" i="3" a="1"/>
  <c r="E5" i="3" s="1"/>
  <c r="D5" i="3"/>
  <c r="N4" i="3"/>
  <c r="L4" i="3"/>
  <c r="M4" i="3" s="1"/>
  <c r="K4" i="3"/>
  <c r="J4" i="3"/>
  <c r="E4" i="3" a="1"/>
  <c r="E4" i="3" s="1"/>
  <c r="D4" i="3"/>
  <c r="N3" i="3"/>
  <c r="L3" i="3"/>
  <c r="M3" i="3" s="1"/>
  <c r="K3" i="3"/>
  <c r="J3" i="3"/>
  <c r="E3" i="3" a="1"/>
  <c r="E3" i="3" s="1"/>
  <c r="D3" i="3"/>
  <c r="N2" i="3"/>
  <c r="N7" i="3" s="1"/>
  <c r="L2" i="3"/>
  <c r="L7" i="3" s="1"/>
  <c r="K2" i="3"/>
  <c r="J2" i="3"/>
  <c r="J7" i="3" s="1"/>
  <c r="E2" i="3" a="1"/>
  <c r="E2" i="3" s="1"/>
  <c r="D2" i="3"/>
  <c r="D7" i="3" s="1"/>
  <c r="B10" i="2" a="1"/>
  <c r="B10" i="2" s="1"/>
  <c r="B9" i="2" a="1"/>
  <c r="B9" i="2" s="1"/>
  <c r="B8" i="2"/>
  <c r="M2" i="3" l="1"/>
  <c r="M7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<sst xmlns="http://schemas.openxmlformats.org/spreadsheetml/2006/main" count="226" uniqueCount="115">
  <si>
    <t>유형</t>
    <phoneticPr fontId="3" type="noConversion"/>
  </si>
  <si>
    <t>R&amp;D</t>
    <phoneticPr fontId="3" type="noConversion"/>
  </si>
  <si>
    <t>단계-연차</t>
    <phoneticPr fontId="3" type="noConversion"/>
  </si>
  <si>
    <t>시작일</t>
    <phoneticPr fontId="3" type="noConversion"/>
  </si>
  <si>
    <t>종료일</t>
    <phoneticPr fontId="3" type="noConversion"/>
  </si>
  <si>
    <t>개월 수</t>
    <phoneticPr fontId="3" type="noConversion"/>
  </si>
  <si>
    <t>계속비
(현금)</t>
    <phoneticPr fontId="3" type="noConversion"/>
  </si>
  <si>
    <t>정부지원금
(현금)</t>
    <phoneticPr fontId="3" type="noConversion"/>
  </si>
  <si>
    <t>지방비
(현금)</t>
    <phoneticPr fontId="3" type="noConversion"/>
  </si>
  <si>
    <t>민간부담금
(현금)</t>
    <phoneticPr fontId="3" type="noConversion"/>
  </si>
  <si>
    <t>민간부담금
(현물)</t>
    <phoneticPr fontId="3" type="noConversion"/>
  </si>
  <si>
    <t>총 민간부담금</t>
    <phoneticPr fontId="3" type="noConversion"/>
  </si>
  <si>
    <t>총 현금</t>
    <phoneticPr fontId="3" type="noConversion"/>
  </si>
  <si>
    <t>총 현물</t>
    <phoneticPr fontId="3" type="noConversion"/>
  </si>
  <si>
    <t>총 사업비</t>
    <phoneticPr fontId="3" type="noConversion"/>
  </si>
  <si>
    <t>타기관</t>
    <phoneticPr fontId="3" type="noConversion"/>
  </si>
  <si>
    <t>기술료</t>
  </si>
  <si>
    <t>부처</t>
    <phoneticPr fontId="3" type="noConversion"/>
  </si>
  <si>
    <t>전문기관</t>
    <phoneticPr fontId="3" type="noConversion"/>
  </si>
  <si>
    <t>1단계 2연차</t>
    <phoneticPr fontId="3" type="noConversion"/>
  </si>
  <si>
    <t>사업명</t>
    <phoneticPr fontId="3" type="noConversion"/>
  </si>
  <si>
    <t>2단계 1연차</t>
  </si>
  <si>
    <t>과제명</t>
    <phoneticPr fontId="3" type="noConversion"/>
  </si>
  <si>
    <t>주관/공동(책임자)</t>
    <phoneticPr fontId="3" type="noConversion"/>
  </si>
  <si>
    <t>주관(김동현)</t>
  </si>
  <si>
    <t>총합</t>
    <phoneticPr fontId="3" type="noConversion"/>
  </si>
  <si>
    <t>총 수행기간</t>
    <phoneticPr fontId="3" type="noConversion"/>
  </si>
  <si>
    <t>당해기간</t>
    <phoneticPr fontId="3" type="noConversion"/>
  </si>
  <si>
    <t>당해기간(개월)</t>
    <phoneticPr fontId="3" type="noConversion"/>
  </si>
  <si>
    <t>시스템</t>
    <phoneticPr fontId="3" type="noConversion"/>
  </si>
  <si>
    <t>사사문구</t>
    <phoneticPr fontId="3" type="noConversion"/>
  </si>
  <si>
    <t>공고일</t>
    <phoneticPr fontId="3" type="noConversion"/>
  </si>
  <si>
    <t>비   고</t>
    <phoneticPr fontId="3" type="noConversion"/>
  </si>
  <si>
    <t>마일스톤</t>
    <phoneticPr fontId="3" type="noConversion"/>
  </si>
  <si>
    <t>계획</t>
    <phoneticPr fontId="3" type="noConversion"/>
  </si>
  <si>
    <t>실행</t>
    <phoneticPr fontId="3" type="noConversion"/>
  </si>
  <si>
    <t>일련번호</t>
    <phoneticPr fontId="3" type="noConversion"/>
  </si>
  <si>
    <t>개발내용</t>
    <phoneticPr fontId="3" type="noConversion"/>
  </si>
  <si>
    <t>연차</t>
    <phoneticPr fontId="3" type="noConversion"/>
  </si>
  <si>
    <t>1단계 1연차</t>
  </si>
  <si>
    <t>정량지표 명(주요성능 spec 등)</t>
    <phoneticPr fontId="11" type="noConversion"/>
  </si>
  <si>
    <t>확인지표</t>
    <phoneticPr fontId="11" type="noConversion"/>
  </si>
  <si>
    <t>지표단위</t>
    <phoneticPr fontId="11" type="noConversion"/>
  </si>
  <si>
    <t>가중치</t>
    <phoneticPr fontId="11" type="noConversion"/>
  </si>
  <si>
    <t>기관명</t>
    <phoneticPr fontId="3" type="noConversion"/>
  </si>
  <si>
    <t>연차별 연구개발 달성률</t>
    <phoneticPr fontId="11" type="noConversion"/>
  </si>
  <si>
    <t>갯수</t>
  </si>
  <si>
    <t>합계</t>
  </si>
  <si>
    <r>
      <rPr>
        <sz val="10"/>
        <color theme="1"/>
        <rFont val="맑은 고딕"/>
        <family val="3"/>
        <charset val="129"/>
      </rPr>
      <t>정량지표</t>
    </r>
    <r>
      <rPr>
        <sz val="10"/>
        <color theme="1"/>
        <rFont val="Arial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명</t>
    </r>
    <phoneticPr fontId="11" type="noConversion"/>
  </si>
  <si>
    <t>단계-연차</t>
    <phoneticPr fontId="11" type="noConversion"/>
  </si>
  <si>
    <t>달성</t>
    <phoneticPr fontId="11" type="noConversion"/>
  </si>
  <si>
    <t>보건복지부</t>
    <phoneticPr fontId="3" type="noConversion"/>
  </si>
  <si>
    <t>한국보건산업진흥원</t>
    <phoneticPr fontId="3" type="noConversion"/>
  </si>
  <si>
    <t>2022년도 제1차 보건의료기술연구개발사업</t>
  </si>
  <si>
    <t>고정밀 경두개직류전기자극을 이용한 알츠하이머병 치료기술 개발</t>
  </si>
  <si>
    <t>1단계 3연차</t>
  </si>
  <si>
    <t>과제번호</t>
  </si>
  <si>
    <t>RS-2022-KH125183</t>
  </si>
  <si>
    <t>2단계 1연차</t>
    <phoneticPr fontId="3" type="noConversion"/>
  </si>
  <si>
    <t>2단계 2연차</t>
  </si>
  <si>
    <t>이지바로</t>
    <phoneticPr fontId="3" type="noConversion"/>
  </si>
  <si>
    <t xml:space="preserve">국문 "본 연구는 보건복지부의 재원으로 한국보건산업진흥원의 보건의료기술연구개발사업 지원에 의하여 이루어진 것임 (과제고유번호 : RS-2022-KH125183)." 
영문 "This research was supported by a grant of the Korea Health Technology R&amp;D Project through the Korea Health Industry Development Institute(KHIDI),funded by the Ministry of Health&amp;Welfare, Republic of Korea (grant number : RS-2022-KH125183 )." </t>
    <phoneticPr fontId="3" type="noConversion"/>
  </si>
  <si>
    <t>치매 고위험군 대상 고정밀 tDCS 탐색임상시험 종료</t>
  </si>
  <si>
    <t>치매 고위험군 대상 고정밀 tDCS 탐색임상시험 결과 보고</t>
  </si>
  <si>
    <t xml:space="preserve">치매 고위험군 대상 고정밀 tDCS 장기 적용 품목허가 임상 식약처 승인 </t>
  </si>
  <si>
    <t>치매 고위험군 대상 고정밀 tDCS 장기 적용 품목허가 임상 연구 수행</t>
  </si>
  <si>
    <t>품목허가 임상연구 수행 중 유해 사건 관리 및 대응</t>
  </si>
  <si>
    <t xml:space="preserve">새로운 산발성 알츠하이머병 모델 구축 </t>
  </si>
  <si>
    <t>산발성 알츠하이머병 모델 tDCS 적용</t>
  </si>
  <si>
    <t>산발성 알츠하이머병 모델의 tDCS 적용 전후 뇌파 분석</t>
  </si>
  <si>
    <t>산발성 알츠하이머병 모델의 tDCS 적용 전후 감마파 변화 분석</t>
  </si>
  <si>
    <t>산발성 알츠하이머병 모델의 tDCS 적용 전후 분자적 작용 기전 분석</t>
  </si>
  <si>
    <t>치매 위험⦁보호 인자를 고려한 고정밀 tDCS 장기 적용 최적 효과 확인</t>
  </si>
  <si>
    <t>뇌구조⦁물리적 특성을 고려한 고정밀 tDCS 장기 적용 최적 효과 확인</t>
  </si>
  <si>
    <t>치매 고위험군 대상 고정밀 tDCS 장기 적용 품목허가 신청</t>
  </si>
  <si>
    <t xml:space="preserve">tDCS 적용 후 마우스 행동 특성 변화 분석 </t>
  </si>
  <si>
    <t xml:space="preserve">산발성 알츠하이머병 모델의 tDCS 적용 후 마우스 행동 특성 변화 분석 </t>
  </si>
  <si>
    <t>tDCS의 알츠하이머병 치료의 분자적 작용기전 분석</t>
  </si>
  <si>
    <t>tDCS의 알츠하이머병 치료 효과 및 작용 기전 규명</t>
  </si>
  <si>
    <t>1단계</t>
    <phoneticPr fontId="3" type="noConversion"/>
  </si>
  <si>
    <t>2단계</t>
    <phoneticPr fontId="3" type="noConversion"/>
  </si>
  <si>
    <t>국외SCI(E)등재학술지</t>
    <phoneticPr fontId="11" type="noConversion"/>
  </si>
  <si>
    <t>국외SCI(E)비등재학술지</t>
    <phoneticPr fontId="11" type="noConversion"/>
  </si>
  <si>
    <t>국내SCI(E)등재학술지</t>
    <phoneticPr fontId="11" type="noConversion"/>
  </si>
  <si>
    <t>국내SCI(E)비등재학술지</t>
    <phoneticPr fontId="11" type="noConversion"/>
  </si>
  <si>
    <t>국제출원</t>
    <phoneticPr fontId="11" type="noConversion"/>
  </si>
  <si>
    <t>국제등록</t>
    <phoneticPr fontId="11" type="noConversion"/>
  </si>
  <si>
    <t>국내출원</t>
    <phoneticPr fontId="11" type="noConversion"/>
  </si>
  <si>
    <t>국내등록</t>
    <phoneticPr fontId="11" type="noConversion"/>
  </si>
  <si>
    <t>신규 고용창출</t>
    <phoneticPr fontId="11" type="noConversion"/>
  </si>
  <si>
    <t>명</t>
    <phoneticPr fontId="3" type="noConversion"/>
  </si>
  <si>
    <t>학사</t>
    <phoneticPr fontId="11" type="noConversion"/>
  </si>
  <si>
    <t>석사</t>
    <phoneticPr fontId="11" type="noConversion"/>
  </si>
  <si>
    <t>박사</t>
    <phoneticPr fontId="11" type="noConversion"/>
  </si>
  <si>
    <t>기타</t>
    <phoneticPr fontId="11" type="noConversion"/>
  </si>
  <si>
    <t>임상시험실시</t>
    <phoneticPr fontId="3" type="noConversion"/>
  </si>
  <si>
    <t>국외SCI(E)등재학술지</t>
  </si>
  <si>
    <t>1단계</t>
  </si>
  <si>
    <t>SeekingOptimal Montage for Single-pair Transcranial Direct Current stimulation Using Bayesian Optimization and Hyperband – A Feasibility Study</t>
    <phoneticPr fontId="3" type="noConversion"/>
  </si>
  <si>
    <t>가톨릭대학교 여의도성모</t>
    <phoneticPr fontId="3" type="noConversion"/>
  </si>
  <si>
    <t>Transcranial direct current stimulation and neuronal functional connectivity in MCI: role of individual factors associated to AD</t>
    <phoneticPr fontId="3" type="noConversion"/>
  </si>
  <si>
    <t>Effects of transcranial direct current stimulation on cognition in MCI with MCI with Alzheimer’s disease risk factors using Bayesian analysis</t>
    <phoneticPr fontId="3" type="noConversion"/>
  </si>
  <si>
    <t>Slow gut transit increases the risk of Alzheimer’s disease: An integrated study of the bi-national cohort in South Korea and Japan and Alzheimer’s disease model mice</t>
    <phoneticPr fontId="3" type="noConversion"/>
  </si>
  <si>
    <t>Effects and safety of transcranial direct current stimulation on multiple health outcomes: an umbrella review of randomized clinical trials</t>
    <phoneticPr fontId="3" type="noConversion"/>
  </si>
  <si>
    <t>Sleep disturbance correlated with severity of neuropathic pain in sciatic nerve crush injury model</t>
    <phoneticPr fontId="3" type="noConversion"/>
  </si>
  <si>
    <t>National trends in counseling for stress and depression and COVID-19 pandemic-related factors among adults, 2009–2022: A nationwide study in South Korea: Stress, depression, and pandemic</t>
    <phoneticPr fontId="3" type="noConversion"/>
  </si>
  <si>
    <t>Safety and feasibility of optimized transcranial direct current stimulation in patients with mild cognitive impairment due to Alzheimer’s disease: a multicenter study protocol for a randomized controlled trial</t>
  </si>
  <si>
    <t>Alzheimer-related individual factors modulate effects of transcranial direct current stimulation strength on white matter integrity in mild cognitive impairment</t>
    <phoneticPr fontId="3" type="noConversion"/>
  </si>
  <si>
    <t>SeekingOptimal Montage for Single-pair Transcranial Direct Current stimulation Using Bayesian Optimization and Hyperband – A Feasibility Study</t>
  </si>
  <si>
    <t>국제등록</t>
  </si>
  <si>
    <t>경두개 직류 자극술을 위한 맞춤형 헤드기어 설계방법, 서버 및 컴퓨터프로그램</t>
  </si>
  <si>
    <t>광주과학기술원</t>
    <phoneticPr fontId="3" type="noConversion"/>
  </si>
  <si>
    <t>뉴로핏 주식회사</t>
    <phoneticPr fontId="3" type="noConversion"/>
  </si>
  <si>
    <t>목표</t>
    <phoneticPr fontId="3" type="noConversion"/>
  </si>
  <si>
    <t>달성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</si>
</sst>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#,##0;[Red]#,##0"/>
    <numFmt numFmtId="177" formatCode="0_);[Red]\(0\)"/>
  </numFmts>
  <fonts count="18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8"/>
      <color theme="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ajor"/>
    </font>
    <font>
      <b/>
      <sz val="8"/>
      <color theme="0"/>
      <name val="맑은 고딕"/>
      <family val="3"/>
      <scheme val="major"/>
    </font>
    <font>
      <b/>
      <sz val="8"/>
      <color theme="1"/>
      <name val="맑은 고딕"/>
      <family val="3"/>
      <charset val="129"/>
      <scheme val="major"/>
    </font>
    <font>
      <sz val="8"/>
      <color theme="1"/>
      <name val="맑은 고딕"/>
      <family val="3"/>
      <scheme val="major"/>
    </font>
    <font>
      <sz val="8"/>
      <color rgb="FF444444"/>
      <name val="맑은 고딕"/>
      <family val="3"/>
      <charset val="129"/>
      <scheme val="major"/>
    </font>
    <font>
      <u/>
      <sz val="11"/>
      <color theme="10"/>
      <name val="맑은 고딕"/>
      <family val="2"/>
      <charset val="129"/>
      <scheme val="minor"/>
    </font>
    <font>
      <sz val="8"/>
      <color rgb="FF000000"/>
      <name val="돋움"/>
      <family val="3"/>
      <charset val="129"/>
    </font>
    <font>
      <sz val="8"/>
      <name val="Arial"/>
      <family val="2"/>
      <charset val="129"/>
    </font>
    <font>
      <sz val="8"/>
      <color rgb="FF000000"/>
      <name val="Arial"/>
      <family val="2"/>
    </font>
    <font>
      <sz val="10"/>
      <color theme="1"/>
      <name val="Arial"/>
      <family val="3"/>
      <charset val="129"/>
    </font>
    <font>
      <sz val="10"/>
      <color theme="1"/>
      <name val="맑은 고딕"/>
      <family val="3"/>
      <charset val="129"/>
    </font>
    <font>
      <b/>
      <sz val="10"/>
      <color theme="0"/>
      <name val="Arial"/>
      <family val="3"/>
      <charset val="129"/>
    </font>
    <font>
      <b/>
      <sz val="10"/>
      <color theme="0"/>
      <name val="맑은 고딕"/>
      <family val="2"/>
      <charset val="129"/>
    </font>
    <font>
      <sz val="10"/>
      <color rgb="FF000000"/>
      <name val="HY중고딕"/>
      <family val="1"/>
      <charset val="129"/>
    </font>
  </fonts>
  <fills count="9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rgb="FFD6D6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/>
        <bgColor theme="5"/>
      </patternFill>
    </fill>
  </fills>
  <borders count="20">
    <border>
      <left/>
      <right/>
      <top/>
      <bottom/>
      <diagonal/>
    </border>
    <border>
      <left/>
      <right/>
      <top style="thin">
        <color theme="8"/>
      </top>
      <bottom/>
      <diagonal/>
    </border>
    <border>
      <left style="thin">
        <color theme="8"/>
      </left>
      <right/>
      <top style="thin">
        <color theme="8"/>
      </top>
      <bottom/>
      <diagonal/>
    </border>
    <border>
      <left style="thin">
        <color theme="8"/>
      </left>
      <right style="thin">
        <color theme="8"/>
      </right>
      <top style="thin">
        <color theme="8"/>
      </top>
      <bottom/>
      <diagonal/>
    </border>
    <border>
      <left/>
      <right style="thin">
        <color theme="8"/>
      </right>
      <top style="thin">
        <color theme="8"/>
      </top>
      <bottom/>
      <diagonal/>
    </border>
    <border>
      <left style="thin">
        <color theme="8"/>
      </left>
      <right/>
      <top style="thin">
        <color theme="8" tint="0.39997558519241921"/>
      </top>
      <bottom/>
      <diagonal/>
    </border>
    <border>
      <left/>
      <right/>
      <top style="thin">
        <color theme="8" tint="0.39997558519241921"/>
      </top>
      <bottom/>
      <diagonal/>
    </border>
    <border>
      <left style="thin">
        <color theme="8"/>
      </left>
      <right style="thin">
        <color theme="8"/>
      </right>
      <top style="thin">
        <color theme="8" tint="0.39997558519241921"/>
      </top>
      <bottom/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 style="thin">
        <color theme="8"/>
      </right>
      <top style="thin">
        <color theme="8" tint="0.39997558519241921"/>
      </top>
      <bottom style="thin">
        <color theme="8" tint="0.39997558519241921"/>
      </bottom>
      <diagonal/>
    </border>
    <border>
      <left style="thin">
        <color theme="8"/>
      </left>
      <right/>
      <top style="thin">
        <color theme="8" tint="0.39997558519241921"/>
      </top>
      <bottom style="thin">
        <color theme="8"/>
      </bottom>
      <diagonal/>
    </border>
    <border>
      <left/>
      <right/>
      <top style="thin">
        <color theme="8" tint="0.39997558519241921"/>
      </top>
      <bottom style="thin">
        <color theme="8"/>
      </bottom>
      <diagonal/>
    </border>
    <border>
      <left style="thin">
        <color theme="8"/>
      </left>
      <right style="thin">
        <color theme="8"/>
      </right>
      <top style="thin">
        <color theme="8" tint="0.39997558519241921"/>
      </top>
      <bottom style="thin">
        <color theme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</cellStyleXfs>
  <cellXfs count="55">
    <xf numFmtId="0" fontId="0" fillId="0" borderId="0" xfId="0">
      <alignment vertical="center"/>
    </xf>
    <xf numFmtId="176" fontId="2" fillId="2" borderId="1" xfId="1" applyNumberFormat="1" applyFont="1" applyFill="1" applyBorder="1" applyAlignment="1" applyProtection="1">
      <alignment horizontal="right" vertical="center"/>
      <protection locked="0"/>
    </xf>
    <xf numFmtId="176" fontId="4" fillId="3" borderId="0" xfId="0" applyNumberFormat="1" applyFont="1" applyFill="1" applyProtection="1">
      <alignment vertical="center"/>
      <protection locked="0"/>
    </xf>
    <xf numFmtId="14" fontId="4" fillId="3" borderId="0" xfId="0" applyNumberFormat="1" applyFont="1" applyFill="1" applyAlignment="1" applyProtection="1">
      <alignment horizontal="center" vertical="center"/>
      <protection locked="0"/>
    </xf>
    <xf numFmtId="176" fontId="2" fillId="4" borderId="2" xfId="0" applyNumberFormat="1" applyFont="1" applyFill="1" applyBorder="1" applyAlignment="1" applyProtection="1">
      <alignment horizontal="center" vertical="center"/>
      <protection locked="0"/>
    </xf>
    <xf numFmtId="176" fontId="2" fillId="4" borderId="1" xfId="0" applyNumberFormat="1" applyFont="1" applyFill="1" applyBorder="1" applyAlignment="1" applyProtection="1">
      <alignment horizontal="center" vertical="center"/>
      <protection locked="0"/>
    </xf>
    <xf numFmtId="176" fontId="2" fillId="4" borderId="3" xfId="0" applyNumberFormat="1" applyFont="1" applyFill="1" applyBorder="1" applyAlignment="1" applyProtection="1">
      <alignment horizontal="center" vertical="center" wrapText="1"/>
      <protection locked="0"/>
    </xf>
    <xf numFmtId="176" fontId="2" fillId="4" borderId="2" xfId="0" applyNumberFormat="1" applyFont="1" applyFill="1" applyBorder="1" applyAlignment="1" applyProtection="1">
      <alignment horizontal="center" vertical="center" wrapText="1"/>
      <protection locked="0"/>
    </xf>
    <xf numFmtId="176" fontId="2" fillId="4" borderId="1" xfId="0" applyNumberFormat="1" applyFont="1" applyFill="1" applyBorder="1" applyAlignment="1" applyProtection="1">
      <alignment horizontal="center" vertical="center" wrapText="1"/>
      <protection locked="0"/>
    </xf>
    <xf numFmtId="176" fontId="2" fillId="4" borderId="4" xfId="0" applyNumberFormat="1" applyFont="1" applyFill="1" applyBorder="1" applyAlignment="1" applyProtection="1">
      <alignment horizontal="center" vertical="center"/>
      <protection locked="0"/>
    </xf>
    <xf numFmtId="176" fontId="2" fillId="4" borderId="3" xfId="0" applyNumberFormat="1" applyFont="1" applyFill="1" applyBorder="1" applyAlignment="1" applyProtection="1">
      <alignment horizontal="center" vertical="center"/>
      <protection locked="0"/>
    </xf>
    <xf numFmtId="176" fontId="5" fillId="4" borderId="3" xfId="0" applyNumberFormat="1" applyFont="1" applyFill="1" applyBorder="1" applyAlignment="1" applyProtection="1">
      <alignment horizontal="center" vertical="center"/>
      <protection locked="0"/>
    </xf>
    <xf numFmtId="176" fontId="4" fillId="5" borderId="6" xfId="0" applyNumberFormat="1" applyFont="1" applyFill="1" applyBorder="1">
      <alignment vertical="center"/>
    </xf>
    <xf numFmtId="176" fontId="4" fillId="5" borderId="7" xfId="0" applyNumberFormat="1" applyFont="1" applyFill="1" applyBorder="1">
      <alignment vertical="center"/>
    </xf>
    <xf numFmtId="176" fontId="7" fillId="5" borderId="7" xfId="0" applyNumberFormat="1" applyFont="1" applyFill="1" applyBorder="1">
      <alignment vertical="center"/>
    </xf>
    <xf numFmtId="176" fontId="6" fillId="0" borderId="5" xfId="0" applyNumberFormat="1" applyFont="1" applyBorder="1" applyAlignment="1">
      <alignment horizontal="center" vertical="center"/>
    </xf>
    <xf numFmtId="14" fontId="4" fillId="3" borderId="8" xfId="0" applyNumberFormat="1" applyFont="1" applyFill="1" applyBorder="1" applyProtection="1">
      <alignment vertical="center"/>
      <protection locked="0"/>
    </xf>
    <xf numFmtId="176" fontId="4" fillId="3" borderId="9" xfId="0" applyNumberFormat="1" applyFont="1" applyFill="1" applyBorder="1" applyProtection="1">
      <alignment vertical="center"/>
      <protection locked="0"/>
    </xf>
    <xf numFmtId="176" fontId="4" fillId="0" borderId="5" xfId="0" applyNumberFormat="1" applyFont="1" applyBorder="1">
      <alignment vertical="center"/>
    </xf>
    <xf numFmtId="176" fontId="4" fillId="3" borderId="8" xfId="0" applyNumberFormat="1" applyFont="1" applyFill="1" applyBorder="1" applyProtection="1">
      <alignment vertical="center"/>
      <protection locked="0"/>
    </xf>
    <xf numFmtId="176" fontId="4" fillId="0" borderId="6" xfId="0" applyNumberFormat="1" applyFont="1" applyBorder="1">
      <alignment vertical="center"/>
    </xf>
    <xf numFmtId="176" fontId="4" fillId="0" borderId="7" xfId="0" applyNumberFormat="1" applyFont="1" applyBorder="1">
      <alignment vertical="center"/>
    </xf>
    <xf numFmtId="176" fontId="7" fillId="0" borderId="7" xfId="0" applyNumberFormat="1" applyFont="1" applyBorder="1">
      <alignment vertical="center"/>
    </xf>
    <xf numFmtId="176" fontId="4" fillId="3" borderId="11" xfId="0" applyNumberFormat="1" applyFont="1" applyFill="1" applyBorder="1">
      <alignment vertical="center"/>
    </xf>
    <xf numFmtId="176" fontId="4" fillId="3" borderId="12" xfId="0" applyNumberFormat="1" applyFont="1" applyFill="1" applyBorder="1">
      <alignment vertical="center"/>
    </xf>
    <xf numFmtId="176" fontId="4" fillId="3" borderId="10" xfId="0" applyNumberFormat="1" applyFont="1" applyFill="1" applyBorder="1">
      <alignment vertical="center"/>
    </xf>
    <xf numFmtId="176" fontId="7" fillId="3" borderId="12" xfId="0" applyNumberFormat="1" applyFont="1" applyFill="1" applyBorder="1">
      <alignment vertical="center"/>
    </xf>
    <xf numFmtId="176" fontId="4" fillId="3" borderId="0" xfId="0" applyNumberFormat="1" applyFont="1" applyFill="1" applyAlignment="1">
      <alignment horizontal="left" vertical="center"/>
    </xf>
    <xf numFmtId="176" fontId="4" fillId="3" borderId="0" xfId="0" applyNumberFormat="1" applyFont="1" applyFill="1" applyAlignment="1" applyProtection="1">
      <alignment horizontal="center" vertical="center"/>
      <protection locked="0"/>
    </xf>
    <xf numFmtId="14" fontId="4" fillId="3" borderId="0" xfId="3" applyNumberFormat="1" applyFont="1" applyFill="1" applyBorder="1" applyAlignment="1" applyProtection="1">
      <alignment vertical="center"/>
      <protection locked="0"/>
    </xf>
    <xf numFmtId="177" fontId="4" fillId="3" borderId="0" xfId="0" applyNumberFormat="1" applyFont="1" applyFill="1" applyAlignment="1" applyProtection="1">
      <alignment horizontal="center" vertical="center"/>
      <protection locked="0"/>
    </xf>
    <xf numFmtId="0" fontId="10" fillId="6" borderId="14" xfId="0" applyFont="1" applyFill="1" applyBorder="1" applyAlignment="1">
      <alignment horizontal="center" vertical="center" wrapText="1"/>
    </xf>
    <xf numFmtId="0" fontId="10" fillId="0" borderId="14" xfId="0" applyFont="1" applyBorder="1" applyAlignment="1">
      <alignment horizontal="center" vertical="center" wrapText="1"/>
    </xf>
    <xf numFmtId="9" fontId="10" fillId="0" borderId="14" xfId="2" applyFont="1" applyBorder="1" applyAlignment="1">
      <alignment horizontal="center" vertical="center" wrapText="1"/>
    </xf>
    <xf numFmtId="0" fontId="12" fillId="7" borderId="14" xfId="0" applyFont="1" applyFill="1" applyBorder="1" applyAlignment="1">
      <alignment horizontal="center" vertical="center" wrapText="1"/>
    </xf>
    <xf numFmtId="176" fontId="4" fillId="3" borderId="0" xfId="3" applyNumberFormat="1" applyFont="1" applyFill="1" applyBorder="1" applyAlignment="1" applyProtection="1">
      <alignment vertical="center"/>
      <protection locked="0"/>
    </xf>
    <xf numFmtId="176" fontId="6" fillId="5" borderId="5" xfId="0" applyNumberFormat="1" applyFont="1" applyFill="1" applyBorder="1" applyAlignment="1">
      <alignment horizontal="center" vertical="center"/>
    </xf>
    <xf numFmtId="14" fontId="4" fillId="5" borderId="6" xfId="0" applyNumberFormat="1" applyFont="1" applyFill="1" applyBorder="1">
      <alignment vertical="center"/>
    </xf>
    <xf numFmtId="176" fontId="4" fillId="5" borderId="5" xfId="0" applyNumberFormat="1" applyFont="1" applyFill="1" applyBorder="1">
      <alignment vertical="center"/>
    </xf>
    <xf numFmtId="14" fontId="8" fillId="5" borderId="6" xfId="0" applyNumberFormat="1" applyFont="1" applyFill="1" applyBorder="1">
      <alignment vertical="center"/>
    </xf>
    <xf numFmtId="176" fontId="6" fillId="3" borderId="10" xfId="0" applyNumberFormat="1" applyFont="1" applyFill="1" applyBorder="1" applyAlignment="1">
      <alignment horizontal="right" vertical="center"/>
    </xf>
    <xf numFmtId="176" fontId="8" fillId="0" borderId="11" xfId="0" applyNumberFormat="1" applyFont="1" applyBorder="1">
      <alignment vertical="center"/>
    </xf>
    <xf numFmtId="14" fontId="0" fillId="0" borderId="0" xfId="0" applyNumberFormat="1">
      <alignment vertical="center"/>
    </xf>
    <xf numFmtId="0" fontId="17" fillId="0" borderId="13" xfId="0" applyFont="1" applyBorder="1" applyAlignment="1">
      <alignment horizontal="left" vertical="center"/>
    </xf>
    <xf numFmtId="0" fontId="10" fillId="0" borderId="14" xfId="0" applyFont="1" applyBorder="1" applyAlignment="1">
      <alignment horizontal="center" vertical="center"/>
    </xf>
    <xf numFmtId="0" fontId="10" fillId="0" borderId="14" xfId="0" applyFont="1" applyBorder="1" applyAlignment="1">
      <alignment horizontal="left" vertical="center"/>
    </xf>
    <xf numFmtId="0" fontId="15" fillId="8" borderId="15" xfId="0" applyFont="1" applyFill="1" applyBorder="1">
      <alignment vertical="center"/>
    </xf>
    <xf numFmtId="0" fontId="16" fillId="8" borderId="15" xfId="0" applyFont="1" applyFill="1" applyBorder="1">
      <alignment vertical="center"/>
    </xf>
    <xf numFmtId="41" fontId="4" fillId="3" borderId="0" xfId="1" applyFont="1" applyFill="1" applyBorder="1" applyAlignment="1" applyProtection="1">
      <alignment vertical="center"/>
      <protection locked="0"/>
    </xf>
    <xf numFmtId="0" fontId="10" fillId="6" borderId="18" xfId="0" applyFont="1" applyFill="1" applyBorder="1" applyAlignment="1">
      <alignment horizontal="center" vertical="center" wrapText="1"/>
    </xf>
    <xf numFmtId="0" fontId="10" fillId="6" borderId="19" xfId="0" applyFont="1" applyFill="1" applyBorder="1" applyAlignment="1">
      <alignment horizontal="center" vertical="center" wrapText="1"/>
    </xf>
    <xf numFmtId="0" fontId="10" fillId="6" borderId="16" xfId="0" applyFont="1" applyFill="1" applyBorder="1" applyAlignment="1">
      <alignment horizontal="center" vertical="center" wrapText="1"/>
    </xf>
    <xf numFmtId="0" fontId="10" fillId="6" borderId="17" xfId="0" applyFont="1" applyFill="1" applyBorder="1" applyAlignment="1">
      <alignment horizontal="center" vertical="center" wrapText="1"/>
    </xf>
    <xf numFmtId="0" fontId="10" fillId="6" borderId="18" xfId="0" applyFont="1" applyFill="1" applyBorder="1" applyAlignment="1">
      <alignment vertical="center" wrapText="1"/>
    </xf>
    <xf numFmtId="0" fontId="10" fillId="6" borderId="19" xfId="0" applyFont="1" applyFill="1" applyBorder="1" applyAlignment="1">
      <alignment vertical="center" wrapText="1"/>
    </xf>
  </cellXfs>
  <cellStyles count="4">
    <cellStyle name="Hyperlink" xfId="3" xr:uid="{CE08D5B9-372F-4712-9115-D30F17B6D5B9}"/>
    <cellStyle name="백분율" xfId="2" builtinId="5"/>
    <cellStyle name="쉼표 [0]" xfId="1" builtinId="6"/>
    <cellStyle name="표준" xfId="0" builtinId="0"/>
  </cellStyles>
  <dxfs count="1"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91DEE-055A-454F-B0DC-1374CA2361D5}">
  <dimension ref="A1:B40"/>
  <sheetViews>
    <sheetView workbookViewId="0">
      <selection activeCell="C32" sqref="C32"/>
    </sheetView>
  </sheetViews>
  <sheetFormatPr defaultRowHeight="17.399999999999999" x14ac:dyDescent="0.4"/>
  <cols>
    <col min="2" max="2" width="47.59765625" customWidth="1"/>
    <col min="4" max="7" width="11.09765625" bestFit="1" customWidth="1"/>
  </cols>
  <sheetData>
    <row r="1" spans="1:2" x14ac:dyDescent="0.4">
      <c r="A1" s="1" t="s">
        <v>0</v>
      </c>
      <c r="B1" s="2" t="s">
        <v>1</v>
      </c>
    </row>
    <row r="2" spans="1:2" x14ac:dyDescent="0.4">
      <c r="A2" s="1" t="s">
        <v>17</v>
      </c>
      <c r="B2" s="2" t="s">
        <v>51</v>
      </c>
    </row>
    <row r="3" spans="1:2" x14ac:dyDescent="0.4">
      <c r="A3" s="1" t="s">
        <v>18</v>
      </c>
      <c r="B3" s="2" t="s">
        <v>52</v>
      </c>
    </row>
    <row r="4" spans="1:2" x14ac:dyDescent="0.4">
      <c r="A4" s="1" t="s">
        <v>20</v>
      </c>
      <c r="B4" s="2" t="s">
        <v>53</v>
      </c>
    </row>
    <row r="5" spans="1:2" x14ac:dyDescent="0.4">
      <c r="A5" s="1" t="s">
        <v>22</v>
      </c>
      <c r="B5" s="2" t="s">
        <v>54</v>
      </c>
    </row>
    <row r="6" spans="1:2" x14ac:dyDescent="0.4">
      <c r="A6" s="1" t="s">
        <v>56</v>
      </c>
      <c r="B6" s="2" t="s">
        <v>57</v>
      </c>
    </row>
    <row r="7" spans="1:2" x14ac:dyDescent="0.4">
      <c r="A7" s="1" t="s">
        <v>23</v>
      </c>
      <c r="B7" s="2" t="s">
        <v>24</v>
      </c>
    </row>
    <row r="8" spans="1:2" x14ac:dyDescent="0.4">
      <c r="A8" s="1" t="s">
        <v>26</v>
      </c>
      <c r="B8" s="27" t="str">
        <f>TEXT(MIN(사업비!$B$1:$B$5),"yyyy-mm-dd")&amp;" - "&amp;TEXT(MAX(사업비!$C$1:$C$5),"yyyy-mm-dd")</f>
        <v>2022-04-01 - 2025-12-31</v>
      </c>
    </row>
    <row r="9" spans="1:2" x14ac:dyDescent="0.4">
      <c r="A9" s="1" t="s">
        <v>27</v>
      </c>
      <c r="B9" s="27" t="str" cm="1">
        <f t="array" aca="1" ref="B9" ca="1">_xlfn.LET(
    _xlpm.today, TODAY(),
    _xlpm.starts, 사업비!B1:B5,
    _xlpm.ends, 사업비!C1:C5,
    _xlpm.labels, 사업비!A1:A5,
    _xlpm.matchRow, _xlfn.XMATCH(1, (_xlpm.starts&lt;=_xlpm.today)*(_xlpm.ends&gt;=_xlpm.today), 0),
    IF(ISNUMBER(_xlpm.matchRow),
        TEXT(INDEX(_xlpm.starts, _xlpm.matchRow), "yyyy-mm-dd") &amp; " - " &amp;
        TEXT(INDEX(_xlpm.ends, _xlpm.matchRow), "yyyy-mm-dd") &amp; " (" &amp;
        INDEX(_xlpm.labels, _xlpm.matchRow) &amp; ")",
        "종료"
    )
)</f>
        <v>종료</v>
      </c>
    </row>
    <row r="10" spans="1:2" x14ac:dyDescent="0.4">
      <c r="A10" s="1" t="s">
        <v>28</v>
      </c>
      <c r="B10" s="27" t="str" cm="1">
        <f t="array" aca="1" ref="B10" ca="1">_xlfn.LET(
    _xlpm.today, TODAY(),
    _xlpm.starts, 사업비!B1:B5,
    _xlpm.ends, 사업비!C1:C5,
    _xlpm.values, 사업비!D1:D5,
    _xlpm.matchRow, _xlfn.XMATCH(1, (_xlpm.starts&lt;=_xlpm.today)*(_xlpm.ends&gt;=_xlpm.today), 0),
    IF(ISNUMBER(_xlpm.matchRow),
        INDEX(_xlpm.values, _xlpm.matchRow),
        "종료"
    )
)</f>
        <v>종료</v>
      </c>
    </row>
    <row r="11" spans="1:2" x14ac:dyDescent="0.4">
      <c r="A11" s="1" t="s">
        <v>29</v>
      </c>
      <c r="B11" s="28" t="s">
        <v>60</v>
      </c>
    </row>
    <row r="12" spans="1:2" x14ac:dyDescent="0.4">
      <c r="A12" s="1" t="s">
        <v>30</v>
      </c>
      <c r="B12" s="35" t="s">
        <v>61</v>
      </c>
    </row>
    <row r="13" spans="1:2" x14ac:dyDescent="0.4">
      <c r="A13" s="1" t="s">
        <v>31</v>
      </c>
      <c r="B13" s="29">
        <v>44558</v>
      </c>
    </row>
    <row r="14" spans="1:2" x14ac:dyDescent="0.4">
      <c r="A14" s="1" t="s">
        <v>32</v>
      </c>
      <c r="B14" s="2"/>
    </row>
    <row r="40" ht="17.399999999999999" customHeight="1" x14ac:dyDescent="0.4"/>
  </sheetData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2D36E-BAE9-4BCD-9D18-DC21B0C49859}">
  <dimension ref="A1:O7"/>
  <sheetViews>
    <sheetView workbookViewId="0">
      <selection sqref="A1:O7"/>
    </sheetView>
  </sheetViews>
  <sheetFormatPr defaultRowHeight="17.399999999999999" x14ac:dyDescent="0.4"/>
  <sheetData>
    <row r="1" spans="1:15" ht="21.6" x14ac:dyDescent="0.4">
      <c r="A1" s="4" t="s">
        <v>2</v>
      </c>
      <c r="B1" s="5" t="s">
        <v>3</v>
      </c>
      <c r="C1" s="5" t="s">
        <v>4</v>
      </c>
      <c r="D1" s="5" t="s">
        <v>5</v>
      </c>
      <c r="E1" s="6" t="s">
        <v>6</v>
      </c>
      <c r="F1" s="6" t="s">
        <v>7</v>
      </c>
      <c r="G1" s="6" t="s">
        <v>8</v>
      </c>
      <c r="H1" s="7" t="s">
        <v>9</v>
      </c>
      <c r="I1" s="8" t="s">
        <v>10</v>
      </c>
      <c r="J1" s="9" t="s">
        <v>11</v>
      </c>
      <c r="K1" s="9" t="s">
        <v>12</v>
      </c>
      <c r="L1" s="9" t="s">
        <v>13</v>
      </c>
      <c r="M1" s="10" t="s">
        <v>14</v>
      </c>
      <c r="N1" s="10" t="s">
        <v>15</v>
      </c>
      <c r="O1" s="11" t="s">
        <v>16</v>
      </c>
    </row>
    <row r="2" spans="1:15" x14ac:dyDescent="0.4">
      <c r="A2" s="36" t="s">
        <v>39</v>
      </c>
      <c r="B2" s="37">
        <v>44652</v>
      </c>
      <c r="C2" s="37">
        <v>44926</v>
      </c>
      <c r="D2" s="12">
        <f>IF(B2="","",DATEDIF(B2,C2,"m")+1)</f>
        <v>9</v>
      </c>
      <c r="E2" s="38" cm="1">
        <f t="array" ref="E2">SUMPRODUCT(
  (개요!$A$17:$A$39 = $A2) *
  ISNUMBER(MATCH(개요!$B$17:$B$39, {"인건비","연구활동비","연구재료비","연구시설장비비","연구수당"}, 0)) *
  개요!$C$17:$C$39
)</f>
        <v>0</v>
      </c>
      <c r="F2" s="38">
        <v>40000000</v>
      </c>
      <c r="G2" s="38"/>
      <c r="H2" s="38">
        <v>1334000</v>
      </c>
      <c r="I2" s="12">
        <v>12000000</v>
      </c>
      <c r="J2" s="12">
        <f>H2+I2</f>
        <v>13334000</v>
      </c>
      <c r="K2" s="38">
        <f>SUM(F2,G2,H2)</f>
        <v>41334000</v>
      </c>
      <c r="L2" s="38">
        <f>I2</f>
        <v>12000000</v>
      </c>
      <c r="M2" s="13">
        <f>K2+L2</f>
        <v>53334000</v>
      </c>
      <c r="N2" s="13">
        <f>(150000000+110000000)</f>
        <v>260000000</v>
      </c>
      <c r="O2" s="14"/>
    </row>
    <row r="3" spans="1:15" x14ac:dyDescent="0.4">
      <c r="A3" s="15" t="s">
        <v>19</v>
      </c>
      <c r="B3" s="16">
        <v>44927</v>
      </c>
      <c r="C3" s="16">
        <v>45291</v>
      </c>
      <c r="D3" s="17">
        <f>IF(B3="","",DATEDIF(B3,C3,"m")+1)</f>
        <v>12</v>
      </c>
      <c r="E3" s="18" cm="1">
        <f t="array" ref="E3">SUMPRODUCT(
  (개요!$A$17:$A$39 = $A3) *
  ISNUMBER(MATCH(개요!$B$17:$B$39, {"인건비","연구활동비","연구재료비","연구시설장비비","연구수당"}, 0)) *
  개요!$C$17:$C$39
)</f>
        <v>0</v>
      </c>
      <c r="F3" s="18">
        <v>50000000</v>
      </c>
      <c r="G3" s="18"/>
      <c r="H3" s="18">
        <v>1667000</v>
      </c>
      <c r="I3" s="19">
        <v>15000000</v>
      </c>
      <c r="J3" s="20">
        <f>H3+I3</f>
        <v>16667000</v>
      </c>
      <c r="K3" s="18">
        <f>SUM(F3,G3,H3)</f>
        <v>51667000</v>
      </c>
      <c r="L3" s="18">
        <f>I3</f>
        <v>15000000</v>
      </c>
      <c r="M3" s="21">
        <f>K3+L3</f>
        <v>66667000</v>
      </c>
      <c r="N3" s="21">
        <f>(200000000+150000000)</f>
        <v>350000000</v>
      </c>
      <c r="O3" s="22"/>
    </row>
    <row r="4" spans="1:15" x14ac:dyDescent="0.4">
      <c r="A4" s="36" t="s">
        <v>55</v>
      </c>
      <c r="B4" s="37">
        <v>45292</v>
      </c>
      <c r="C4" s="37">
        <v>45657</v>
      </c>
      <c r="D4" s="12">
        <f>IF(B4="","",DATEDIF(B4,C4,"m")+1)</f>
        <v>12</v>
      </c>
      <c r="E4" s="38" cm="1">
        <f t="array" ref="E4">SUMPRODUCT(
  (개요!$A$17:$A$39 = $A4) *
  ISNUMBER(MATCH(개요!$B$17:$B$39, {"인건비","연구활동비","연구재료비","연구시설장비비","연구수당"}, 0)) *
  개요!$C$17:$C$39
)</f>
        <v>0</v>
      </c>
      <c r="F4" s="38">
        <v>50000000</v>
      </c>
      <c r="G4" s="38"/>
      <c r="H4" s="38">
        <v>1667000</v>
      </c>
      <c r="I4" s="12">
        <v>15000000</v>
      </c>
      <c r="J4" s="12">
        <f>H4+I4</f>
        <v>16667000</v>
      </c>
      <c r="K4" s="38">
        <f>SUM(F4,G4,H4)</f>
        <v>51667000</v>
      </c>
      <c r="L4" s="38">
        <f>I4</f>
        <v>15000000</v>
      </c>
      <c r="M4" s="13">
        <f>K4+L4</f>
        <v>66667000</v>
      </c>
      <c r="N4" s="13">
        <f>(200000000+150000000)</f>
        <v>350000000</v>
      </c>
      <c r="O4" s="14"/>
    </row>
    <row r="5" spans="1:15" x14ac:dyDescent="0.4">
      <c r="A5" s="15" t="s">
        <v>58</v>
      </c>
      <c r="B5" s="16">
        <v>45658</v>
      </c>
      <c r="C5" s="16">
        <v>46022</v>
      </c>
      <c r="D5" s="17">
        <f>IF(B5="","",DATEDIF(B5,C5,"m")+1)</f>
        <v>12</v>
      </c>
      <c r="E5" s="18" cm="1">
        <f t="array" ref="E5">SUMPRODUCT(
  (개요!$A$17:$A$39 = $A5) *
  ISNUMBER(MATCH(개요!$B$17:$B$39, {"인건비","연구활동비","연구재료비","연구시설장비비","연구수당"}, 0)) *
  개요!$C$17:$C$39
)</f>
        <v>0</v>
      </c>
      <c r="F5" s="18">
        <v>50000000</v>
      </c>
      <c r="G5" s="18"/>
      <c r="H5" s="18">
        <v>1667000</v>
      </c>
      <c r="I5" s="19">
        <v>15000000</v>
      </c>
      <c r="J5" s="20">
        <f>H5+I5</f>
        <v>16667000</v>
      </c>
      <c r="K5" s="18">
        <f>SUM(F5,G5,H5)</f>
        <v>51667000</v>
      </c>
      <c r="L5" s="18">
        <f>I5</f>
        <v>15000000</v>
      </c>
      <c r="M5" s="21">
        <f>K5+L5</f>
        <v>66667000</v>
      </c>
      <c r="N5" s="21">
        <f>(200000000+150000000)</f>
        <v>350000000</v>
      </c>
      <c r="O5" s="22"/>
    </row>
    <row r="6" spans="1:15" x14ac:dyDescent="0.4">
      <c r="A6" s="36" t="s">
        <v>59</v>
      </c>
      <c r="B6" s="39">
        <v>46023</v>
      </c>
      <c r="C6" s="39">
        <v>46387</v>
      </c>
      <c r="D6" s="12">
        <f>IF(B6="","",DATEDIF(B6,C6,"m")+1)</f>
        <v>12</v>
      </c>
      <c r="E6" s="38" cm="1">
        <f t="array" ref="E6">SUMPRODUCT(
  (개요!$A$17:$A$39 = $A6) *
  ISNUMBER(MATCH(개요!$B$17:$B$39, {"인건비","연구활동비","연구재료비","연구시설장비비","연구수당"}, 0)) *
  개요!$C$17:$C$39
)</f>
        <v>0</v>
      </c>
      <c r="F6" s="38">
        <v>45000000</v>
      </c>
      <c r="G6" s="38"/>
      <c r="H6" s="38">
        <v>1500000</v>
      </c>
      <c r="I6" s="12">
        <v>13500000</v>
      </c>
      <c r="J6" s="12">
        <f>H6+I6</f>
        <v>15000000</v>
      </c>
      <c r="K6" s="38">
        <f>SUM(F6,G6,H6)</f>
        <v>46500000</v>
      </c>
      <c r="L6" s="38">
        <f>I6</f>
        <v>13500000</v>
      </c>
      <c r="M6" s="13">
        <f>K6+L6</f>
        <v>60000000</v>
      </c>
      <c r="N6" s="13">
        <f>(200000000+150000000)</f>
        <v>350000000</v>
      </c>
      <c r="O6" s="14"/>
    </row>
    <row r="7" spans="1:15" x14ac:dyDescent="0.4">
      <c r="A7" s="40" t="s">
        <v>25</v>
      </c>
      <c r="B7" s="23"/>
      <c r="C7" s="41"/>
      <c r="D7" s="23">
        <f>SUM(D2:D6)</f>
        <v>57</v>
      </c>
      <c r="E7" s="25" cm="1">
        <f t="array" ref="E7">SUMPRODUCT(
  (개요!$A$17:$A$39 = $A7) *
  ISNUMBER(MATCH(개요!$B$17:$B$39, {"인건비","연구활동비","연구재료비","연구시설장비비","연구수당"}, 0)) *
  개요!$C$17:$C$39
)</f>
        <v>0</v>
      </c>
      <c r="F7" s="25">
        <f t="shared" ref="F7:O7" si="0">SUM(F2:F6)</f>
        <v>235000000</v>
      </c>
      <c r="G7" s="25">
        <f t="shared" si="0"/>
        <v>0</v>
      </c>
      <c r="H7" s="25">
        <f t="shared" si="0"/>
        <v>7835000</v>
      </c>
      <c r="I7" s="23">
        <f t="shared" si="0"/>
        <v>70500000</v>
      </c>
      <c r="J7" s="23">
        <f t="shared" si="0"/>
        <v>78335000</v>
      </c>
      <c r="K7" s="25">
        <f t="shared" si="0"/>
        <v>242835000</v>
      </c>
      <c r="L7" s="25">
        <f t="shared" si="0"/>
        <v>70500000</v>
      </c>
      <c r="M7" s="24">
        <f t="shared" si="0"/>
        <v>313335000</v>
      </c>
      <c r="N7" s="24">
        <f t="shared" si="0"/>
        <v>1660000000</v>
      </c>
      <c r="O7" s="26">
        <f t="shared" si="0"/>
        <v>0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F70E6-80C3-4491-B4B1-4B4B75E503DA}">
  <dimension ref="A1:G19"/>
  <sheetViews>
    <sheetView workbookViewId="0">
      <selection activeCell="I5" sqref="I5"/>
    </sheetView>
  </sheetViews>
  <sheetFormatPr defaultRowHeight="17.399999999999999" x14ac:dyDescent="0.4"/>
  <cols>
    <col min="2" max="2" width="53.796875" customWidth="1"/>
    <col min="4" max="7" width="10.8984375" bestFit="1" customWidth="1"/>
  </cols>
  <sheetData>
    <row r="1" spans="1:7" x14ac:dyDescent="0.4">
      <c r="A1" s="2" t="s">
        <v>33</v>
      </c>
      <c r="B1" s="28"/>
      <c r="C1" s="2"/>
      <c r="D1" s="2" t="s">
        <v>34</v>
      </c>
      <c r="E1" s="2" t="s">
        <v>34</v>
      </c>
      <c r="F1" s="48" t="s">
        <v>35</v>
      </c>
      <c r="G1" s="48" t="s">
        <v>35</v>
      </c>
    </row>
    <row r="2" spans="1:7" x14ac:dyDescent="0.4">
      <c r="A2" s="28" t="s">
        <v>36</v>
      </c>
      <c r="B2" s="28" t="s">
        <v>37</v>
      </c>
      <c r="C2" s="2" t="s">
        <v>38</v>
      </c>
      <c r="D2" s="28" t="s">
        <v>3</v>
      </c>
      <c r="E2" s="28" t="s">
        <v>4</v>
      </c>
      <c r="F2" s="28" t="s">
        <v>3</v>
      </c>
      <c r="G2" s="28" t="s">
        <v>4</v>
      </c>
    </row>
    <row r="3" spans="1:7" x14ac:dyDescent="0.4">
      <c r="A3" s="30">
        <v>1</v>
      </c>
      <c r="B3" s="43" t="s">
        <v>62</v>
      </c>
      <c r="C3" s="3" t="s">
        <v>21</v>
      </c>
      <c r="D3" s="3">
        <v>45658</v>
      </c>
      <c r="E3" s="3">
        <v>45747</v>
      </c>
      <c r="F3" s="3">
        <v>45658</v>
      </c>
      <c r="G3" s="3">
        <v>45747</v>
      </c>
    </row>
    <row r="4" spans="1:7" x14ac:dyDescent="0.4">
      <c r="A4" s="28">
        <v>2</v>
      </c>
      <c r="B4" s="43" t="s">
        <v>63</v>
      </c>
      <c r="C4" s="2" t="s">
        <v>21</v>
      </c>
      <c r="D4" s="3">
        <v>45748</v>
      </c>
      <c r="E4" s="3">
        <v>45838</v>
      </c>
      <c r="F4" s="3">
        <v>45748</v>
      </c>
      <c r="G4" s="3">
        <v>45838</v>
      </c>
    </row>
    <row r="5" spans="1:7" x14ac:dyDescent="0.4">
      <c r="A5" s="30">
        <v>3</v>
      </c>
      <c r="B5" s="43" t="s">
        <v>64</v>
      </c>
      <c r="C5" s="2" t="s">
        <v>21</v>
      </c>
      <c r="D5" s="3">
        <v>45839</v>
      </c>
      <c r="E5" s="3">
        <v>45961</v>
      </c>
      <c r="F5" s="3">
        <v>45839</v>
      </c>
      <c r="G5" s="3">
        <v>45961</v>
      </c>
    </row>
    <row r="6" spans="1:7" x14ac:dyDescent="0.4">
      <c r="A6" s="28">
        <v>4</v>
      </c>
      <c r="B6" s="43" t="s">
        <v>65</v>
      </c>
      <c r="C6" s="2" t="s">
        <v>21</v>
      </c>
      <c r="D6" s="3">
        <v>45962</v>
      </c>
      <c r="E6" s="3">
        <v>46387</v>
      </c>
      <c r="F6" s="3">
        <v>45962</v>
      </c>
      <c r="G6" s="3"/>
    </row>
    <row r="7" spans="1:7" x14ac:dyDescent="0.4">
      <c r="A7" s="30">
        <v>5</v>
      </c>
      <c r="B7" s="43" t="s">
        <v>66</v>
      </c>
      <c r="C7" s="2" t="s">
        <v>21</v>
      </c>
      <c r="D7" s="3">
        <v>45778</v>
      </c>
      <c r="E7" s="3">
        <v>46022</v>
      </c>
      <c r="F7" s="3">
        <v>45778</v>
      </c>
      <c r="G7" s="3">
        <v>46022</v>
      </c>
    </row>
    <row r="8" spans="1:7" x14ac:dyDescent="0.4">
      <c r="A8" s="28">
        <v>6</v>
      </c>
      <c r="B8" s="43" t="s">
        <v>67</v>
      </c>
      <c r="C8" s="2" t="s">
        <v>21</v>
      </c>
      <c r="D8" s="3">
        <v>45658</v>
      </c>
      <c r="E8" s="3">
        <v>45777</v>
      </c>
      <c r="F8" s="3">
        <v>45658</v>
      </c>
      <c r="G8" s="3">
        <v>45777</v>
      </c>
    </row>
    <row r="9" spans="1:7" x14ac:dyDescent="0.4">
      <c r="A9" s="30">
        <v>7</v>
      </c>
      <c r="B9" s="43" t="s">
        <v>68</v>
      </c>
      <c r="C9" s="2" t="s">
        <v>21</v>
      </c>
      <c r="D9" s="3">
        <v>45717</v>
      </c>
      <c r="E9" s="3">
        <v>45808</v>
      </c>
      <c r="F9" s="3">
        <v>45717</v>
      </c>
      <c r="G9" s="3">
        <v>45808</v>
      </c>
    </row>
    <row r="10" spans="1:7" x14ac:dyDescent="0.4">
      <c r="A10" s="28">
        <v>8</v>
      </c>
      <c r="B10" s="43" t="s">
        <v>69</v>
      </c>
      <c r="C10" t="s">
        <v>21</v>
      </c>
      <c r="D10" s="42">
        <v>45778</v>
      </c>
      <c r="E10" s="42">
        <v>45961</v>
      </c>
      <c r="F10" s="42">
        <v>45778</v>
      </c>
      <c r="G10" s="42">
        <v>45961</v>
      </c>
    </row>
    <row r="11" spans="1:7" x14ac:dyDescent="0.4">
      <c r="A11" s="30">
        <v>9</v>
      </c>
      <c r="B11" s="43" t="s">
        <v>70</v>
      </c>
      <c r="C11" t="s">
        <v>21</v>
      </c>
      <c r="D11" s="42">
        <v>45778</v>
      </c>
      <c r="E11" s="42">
        <v>45961</v>
      </c>
      <c r="F11" s="42">
        <v>45778</v>
      </c>
      <c r="G11" s="42">
        <v>45961</v>
      </c>
    </row>
    <row r="12" spans="1:7" x14ac:dyDescent="0.4">
      <c r="A12" s="28">
        <v>10</v>
      </c>
      <c r="B12" s="43" t="s">
        <v>71</v>
      </c>
      <c r="C12" t="s">
        <v>21</v>
      </c>
      <c r="D12" s="42">
        <v>45901</v>
      </c>
      <c r="E12" s="42">
        <v>46022</v>
      </c>
      <c r="F12" s="42">
        <v>45901</v>
      </c>
      <c r="G12" s="42">
        <v>46022</v>
      </c>
    </row>
    <row r="13" spans="1:7" x14ac:dyDescent="0.4">
      <c r="A13" s="30">
        <v>11</v>
      </c>
      <c r="B13" t="s">
        <v>72</v>
      </c>
      <c r="C13" t="s">
        <v>59</v>
      </c>
      <c r="D13" s="42">
        <v>46235</v>
      </c>
      <c r="E13" s="42">
        <v>46387</v>
      </c>
      <c r="F13" s="42"/>
      <c r="G13" s="42"/>
    </row>
    <row r="14" spans="1:7" x14ac:dyDescent="0.4">
      <c r="A14" s="28">
        <v>12</v>
      </c>
      <c r="B14" t="s">
        <v>73</v>
      </c>
      <c r="C14" t="s">
        <v>59</v>
      </c>
      <c r="D14" s="42">
        <v>46235</v>
      </c>
      <c r="E14" s="42">
        <v>46387</v>
      </c>
      <c r="F14" s="42"/>
      <c r="G14" s="42"/>
    </row>
    <row r="15" spans="1:7" x14ac:dyDescent="0.4">
      <c r="A15" s="30">
        <v>13</v>
      </c>
      <c r="B15" t="s">
        <v>74</v>
      </c>
      <c r="C15" t="s">
        <v>59</v>
      </c>
      <c r="D15" s="42">
        <v>46174</v>
      </c>
      <c r="E15" s="42">
        <v>46387</v>
      </c>
      <c r="F15" s="42"/>
      <c r="G15" s="42"/>
    </row>
    <row r="16" spans="1:7" x14ac:dyDescent="0.4">
      <c r="A16" s="28">
        <v>14</v>
      </c>
      <c r="B16" t="s">
        <v>75</v>
      </c>
      <c r="C16" t="s">
        <v>59</v>
      </c>
      <c r="D16" s="42">
        <v>46023</v>
      </c>
      <c r="E16" s="42">
        <v>46112</v>
      </c>
      <c r="F16" s="42"/>
      <c r="G16" s="42"/>
    </row>
    <row r="17" spans="1:7" x14ac:dyDescent="0.4">
      <c r="A17" s="30">
        <v>15</v>
      </c>
      <c r="B17" t="s">
        <v>76</v>
      </c>
      <c r="C17" t="s">
        <v>59</v>
      </c>
      <c r="D17" s="42">
        <v>46023</v>
      </c>
      <c r="E17" s="42">
        <v>46112</v>
      </c>
      <c r="F17" s="42"/>
      <c r="G17" s="42"/>
    </row>
    <row r="18" spans="1:7" x14ac:dyDescent="0.4">
      <c r="A18" s="28">
        <v>16</v>
      </c>
      <c r="B18" t="s">
        <v>77</v>
      </c>
      <c r="C18" t="s">
        <v>59</v>
      </c>
      <c r="D18" s="42">
        <v>46082</v>
      </c>
      <c r="E18" s="42">
        <v>46203</v>
      </c>
      <c r="F18" s="42"/>
      <c r="G18" s="42"/>
    </row>
    <row r="19" spans="1:7" x14ac:dyDescent="0.4">
      <c r="A19" s="30">
        <v>17</v>
      </c>
      <c r="B19" t="s">
        <v>78</v>
      </c>
      <c r="C19" t="s">
        <v>59</v>
      </c>
      <c r="D19" s="42">
        <v>46174</v>
      </c>
      <c r="E19" s="42">
        <v>46387</v>
      </c>
      <c r="F19" s="42"/>
      <c r="G19" s="42"/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B3C81-3B1E-4791-8A5D-B01413B7BA53}">
  <dimension ref="A1:J17"/>
  <sheetViews>
    <sheetView tabSelected="1" workbookViewId="0">
      <selection activeCell="E2" sqref="E2"/>
    </sheetView>
  </sheetViews>
  <sheetFormatPr defaultRowHeight="17.399999999999999" x14ac:dyDescent="0.4"/>
  <sheetData>
    <row r="1" spans="1:10" ht="17.399999999999999" customHeight="1" x14ac:dyDescent="0.4">
      <c r="A1" s="51" t="s">
        <v>40</v>
      </c>
      <c r="B1" s="51" t="s">
        <v>41</v>
      </c>
      <c r="C1" s="51" t="s">
        <v>42</v>
      </c>
      <c r="D1" s="51" t="s">
        <v>43</v>
      </c>
      <c r="E1" s="53" t="s">
        <v>113</v>
      </c>
      <c r="F1" s="54" t="s">
        <v>113</v>
      </c>
      <c r="G1" s="53" t="s">
        <v>50</v>
      </c>
      <c r="H1" s="54" t="s">
        <v>114</v>
      </c>
      <c r="I1" s="49" t="s">
        <v>45</v>
      </c>
      <c r="J1" s="50"/>
    </row>
    <row r="2" spans="1:10" x14ac:dyDescent="0.4">
      <c r="A2" s="52"/>
      <c r="B2" s="52"/>
      <c r="C2" s="52"/>
      <c r="D2" s="52"/>
      <c r="E2" s="31" t="s">
        <v>79</v>
      </c>
      <c r="F2" s="31" t="s">
        <v>80</v>
      </c>
      <c r="G2" s="31" t="s">
        <v>79</v>
      </c>
      <c r="H2" s="31" t="s">
        <v>80</v>
      </c>
      <c r="I2" s="31" t="s">
        <v>79</v>
      </c>
      <c r="J2" s="31" t="s">
        <v>80</v>
      </c>
    </row>
    <row r="3" spans="1:10" x14ac:dyDescent="0.4">
      <c r="A3" s="45" t="s">
        <v>81</v>
      </c>
      <c r="B3" s="32"/>
      <c r="C3" s="32" t="s">
        <v>46</v>
      </c>
      <c r="D3" s="32">
        <v>25</v>
      </c>
      <c r="E3" s="32">
        <v>3</v>
      </c>
      <c r="F3" s="32">
        <v>3</v>
      </c>
      <c r="G3" s="32" cm="1">
        <f t="array" ref="G3">IFERROR(
    IF(ISNUMBER(INDEX(정량지표상세!$C$2:$C$25, MATCH(1, (정량지표상세!$A$2:$A$25=$A3) * (정량지표상세!$B$2:$B$25=G$2), 0))),
       SUMIFS(정량지표상세!$C$2:$C$25, 정량지표상세!$A$2:$A$25, $A3, 정량지표상세!$B$2:$B$25, G$2),
       INDEX(정량지표상세!$C$2:$C$25, MATCH(1, (정량지표상세!$A$2:$A$25=$A3) * (정량지표상세!$B$2:$B$25=G$2), 0))),
"")</f>
        <v>8</v>
      </c>
      <c r="H3" s="32" cm="1">
        <f t="array" ref="H3">IFERROR(
    IF(ISNUMBER(INDEX(정량지표상세!$C$2:$C$25, MATCH(1, (정량지표상세!$A$2:$A$25=$A3) * (정량지표상세!$B$2:$B$25=H$2), 0))),
       SUMIFS(정량지표상세!$C$2:$C$25, 정량지표상세!$A$2:$A$25, $A3, 정량지표상세!$B$2:$B$25, H$2),
       INDEX(정량지표상세!$C$2:$C$25, MATCH(1, (정량지표상세!$A$2:$A$25=$A3) * (정량지표상세!$B$2:$B$25=H$2), 0))),
"")</f>
        <v>2</v>
      </c>
      <c r="I3" s="33" t="str">
        <f t="shared" ref="I3:I17" si="0">IF(E3="","",
   IF(ISNUMBER(E3),
      IF(N(G3)/E3&gt;=1,"달성","미달성"),
      IF(E3=G3,"달성","미달성")
   )
)</f>
        <v>달성</v>
      </c>
      <c r="J3" s="33" t="str">
        <f t="shared" ref="J3:J17" si="1">IF(F3="","",
   IF(ISNUMBER(F3),
      IF(N(H3)/F3&gt;=1,"달성","미달성"),
      IF(F3=H3,"달성","미달성")
   )
)</f>
        <v>미달성</v>
      </c>
    </row>
    <row r="4" spans="1:10" x14ac:dyDescent="0.4">
      <c r="A4" s="45" t="s">
        <v>82</v>
      </c>
      <c r="B4" s="32"/>
      <c r="C4" s="32" t="s">
        <v>46</v>
      </c>
      <c r="D4" s="32">
        <v>15</v>
      </c>
      <c r="E4" s="32">
        <v>1</v>
      </c>
      <c r="F4" s="32">
        <v>2</v>
      </c>
      <c r="G4" s="32" t="str" cm="1">
        <f t="array" ref="G4">IFERROR(
    IF(ISNUMBER(INDEX(정량지표상세!$C$2:$C$25, MATCH(1, (정량지표상세!$A$2:$A$25=$A4) * (정량지표상세!$B$2:$B$25=G$2), 0))),
       SUMIFS(정량지표상세!$C$2:$C$25, 정량지표상세!$A$2:$A$25, $A4, 정량지표상세!$B$2:$B$25, G$2),
       INDEX(정량지표상세!$C$2:$C$25, MATCH(1, (정량지표상세!$A$2:$A$25=$A4) * (정량지표상세!$B$2:$B$25=G$2), 0))),
"")</f>
        <v/>
      </c>
      <c r="H4" s="32" t="str" cm="1">
        <f t="array" ref="H4">IFERROR(
    IF(ISNUMBER(INDEX(정량지표상세!$C$2:$C$25, MATCH(1, (정량지표상세!$A$2:$A$25=$A4) * (정량지표상세!$B$2:$B$25=H$2), 0))),
       SUMIFS(정량지표상세!$C$2:$C$25, 정량지표상세!$A$2:$A$25, $A4, 정량지표상세!$B$2:$B$25, H$2),
       INDEX(정량지표상세!$C$2:$C$25, MATCH(1, (정량지표상세!$A$2:$A$25=$A4) * (정량지표상세!$B$2:$B$25=H$2), 0))),
"")</f>
        <v/>
      </c>
      <c r="I4" s="33" t="str">
        <f t="shared" si="0"/>
        <v>미달성</v>
      </c>
      <c r="J4" s="33" t="str">
        <f t="shared" si="1"/>
        <v>미달성</v>
      </c>
    </row>
    <row r="5" spans="1:10" x14ac:dyDescent="0.4">
      <c r="A5" s="45" t="s">
        <v>83</v>
      </c>
      <c r="B5" s="32"/>
      <c r="C5" s="32" t="s">
        <v>46</v>
      </c>
      <c r="D5" s="32"/>
      <c r="E5" s="32"/>
      <c r="F5" s="32">
        <v>1</v>
      </c>
      <c r="G5" s="32" t="str" cm="1">
        <f t="array" ref="G5">IFERROR(
    IF(ISNUMBER(INDEX(정량지표상세!$C$2:$C$25, MATCH(1, (정량지표상세!$A$2:$A$25=$A5) * (정량지표상세!$B$2:$B$25=G$2), 0))),
       SUMIFS(정량지표상세!$C$2:$C$25, 정량지표상세!$A$2:$A$25, $A5, 정량지표상세!$B$2:$B$25, G$2),
       INDEX(정량지표상세!$C$2:$C$25, MATCH(1, (정량지표상세!$A$2:$A$25=$A5) * (정량지표상세!$B$2:$B$25=G$2), 0))),
"")</f>
        <v/>
      </c>
      <c r="H5" s="32" t="str" cm="1">
        <f t="array" ref="H5">IFERROR(
    IF(ISNUMBER(INDEX(정량지표상세!$C$2:$C$25, MATCH(1, (정량지표상세!$A$2:$A$25=$A5) * (정량지표상세!$B$2:$B$25=H$2), 0))),
       SUMIFS(정량지표상세!$C$2:$C$25, 정량지표상세!$A$2:$A$25, $A5, 정량지표상세!$B$2:$B$25, H$2),
       INDEX(정량지표상세!$C$2:$C$25, MATCH(1, (정량지표상세!$A$2:$A$25=$A5) * (정량지표상세!$B$2:$B$25=H$2), 0))),
"")</f>
        <v/>
      </c>
      <c r="I5" s="33" t="str">
        <f t="shared" si="0"/>
        <v/>
      </c>
      <c r="J5" s="33" t="str">
        <f t="shared" si="1"/>
        <v>미달성</v>
      </c>
    </row>
    <row r="6" spans="1:10" x14ac:dyDescent="0.4">
      <c r="A6" s="45" t="s">
        <v>84</v>
      </c>
      <c r="B6" s="32"/>
      <c r="C6" s="32" t="s">
        <v>46</v>
      </c>
      <c r="D6" s="32">
        <v>1</v>
      </c>
      <c r="E6" s="32">
        <v>2</v>
      </c>
      <c r="F6" s="32">
        <v>2</v>
      </c>
      <c r="G6" s="32" t="str" cm="1">
        <f t="array" ref="G6">IFERROR(
    IF(ISNUMBER(INDEX(정량지표상세!$C$2:$C$25, MATCH(1, (정량지표상세!$A$2:$A$25=$A6) * (정량지표상세!$B$2:$B$25=G$2), 0))),
       SUMIFS(정량지표상세!$C$2:$C$25, 정량지표상세!$A$2:$A$25, $A6, 정량지표상세!$B$2:$B$25, G$2),
       INDEX(정량지표상세!$C$2:$C$25, MATCH(1, (정량지표상세!$A$2:$A$25=$A6) * (정량지표상세!$B$2:$B$25=G$2), 0))),
"")</f>
        <v/>
      </c>
      <c r="H6" s="32" t="str" cm="1">
        <f t="array" ref="H6">IFERROR(
    IF(ISNUMBER(INDEX(정량지표상세!$C$2:$C$25, MATCH(1, (정량지표상세!$A$2:$A$25=$A6) * (정량지표상세!$B$2:$B$25=H$2), 0))),
       SUMIFS(정량지표상세!$C$2:$C$25, 정량지표상세!$A$2:$A$25, $A6, 정량지표상세!$B$2:$B$25, H$2),
       INDEX(정량지표상세!$C$2:$C$25, MATCH(1, (정량지표상세!$A$2:$A$25=$A6) * (정량지표상세!$B$2:$B$25=H$2), 0))),
"")</f>
        <v/>
      </c>
      <c r="I6" s="33" t="str">
        <f t="shared" si="0"/>
        <v>미달성</v>
      </c>
      <c r="J6" s="33" t="str">
        <f t="shared" si="1"/>
        <v>미달성</v>
      </c>
    </row>
    <row r="7" spans="1:10" x14ac:dyDescent="0.4">
      <c r="A7" s="45" t="s">
        <v>85</v>
      </c>
      <c r="B7" s="32"/>
      <c r="C7" s="32" t="s">
        <v>46</v>
      </c>
      <c r="D7" s="32"/>
      <c r="E7" s="32">
        <v>1</v>
      </c>
      <c r="F7" s="32">
        <v>3</v>
      </c>
      <c r="G7" s="32" t="str" cm="1">
        <f t="array" ref="G7">IFERROR(
    IF(ISNUMBER(INDEX(정량지표상세!$C$2:$C$25, MATCH(1, (정량지표상세!$A$2:$A$25=$A7) * (정량지표상세!$B$2:$B$25=G$2), 0))),
       SUMIFS(정량지표상세!$C$2:$C$25, 정량지표상세!$A$2:$A$25, $A7, 정량지표상세!$B$2:$B$25, G$2),
       INDEX(정량지표상세!$C$2:$C$25, MATCH(1, (정량지표상세!$A$2:$A$25=$A7) * (정량지표상세!$B$2:$B$25=G$2), 0))),
"")</f>
        <v/>
      </c>
      <c r="H7" s="32" t="str" cm="1">
        <f t="array" ref="H7">IFERROR(
    IF(ISNUMBER(INDEX(정량지표상세!$C$2:$C$25, MATCH(1, (정량지표상세!$A$2:$A$25=$A7) * (정량지표상세!$B$2:$B$25=H$2), 0))),
       SUMIFS(정량지표상세!$C$2:$C$25, 정량지표상세!$A$2:$A$25, $A7, 정량지표상세!$B$2:$B$25, H$2),
       INDEX(정량지표상세!$C$2:$C$25, MATCH(1, (정량지표상세!$A$2:$A$25=$A7) * (정량지표상세!$B$2:$B$25=H$2), 0))),
"")</f>
        <v/>
      </c>
      <c r="I7" s="33" t="str">
        <f t="shared" si="0"/>
        <v>미달성</v>
      </c>
      <c r="J7" s="33" t="str">
        <f t="shared" si="1"/>
        <v>미달성</v>
      </c>
    </row>
    <row r="8" spans="1:10" x14ac:dyDescent="0.4">
      <c r="A8" s="45" t="s">
        <v>86</v>
      </c>
      <c r="B8" s="32"/>
      <c r="C8" s="32" t="s">
        <v>46</v>
      </c>
      <c r="D8" s="32"/>
      <c r="E8" s="32"/>
      <c r="F8" s="32"/>
      <c r="G8" s="32" cm="1">
        <f t="array" ref="G8">IFERROR(
    IF(ISNUMBER(INDEX(정량지표상세!$C$2:$C$25, MATCH(1, (정량지표상세!$A$2:$A$25=$A8) * (정량지표상세!$B$2:$B$25=G$2), 0))),
       SUMIFS(정량지표상세!$C$2:$C$25, 정량지표상세!$A$2:$A$25, $A8, 정량지표상세!$B$2:$B$25, G$2),
       INDEX(정량지표상세!$C$2:$C$25, MATCH(1, (정량지표상세!$A$2:$A$25=$A8) * (정량지표상세!$B$2:$B$25=G$2), 0))),
"")</f>
        <v>12</v>
      </c>
      <c r="H8" s="32" t="str" cm="1">
        <f t="array" ref="H8">IFERROR(
    IF(ISNUMBER(INDEX(정량지표상세!$C$2:$C$25, MATCH(1, (정량지표상세!$A$2:$A$25=$A8) * (정량지표상세!$B$2:$B$25=H$2), 0))),
       SUMIFS(정량지표상세!$C$2:$C$25, 정량지표상세!$A$2:$A$25, $A8, 정량지표상세!$B$2:$B$25, H$2),
       INDEX(정량지표상세!$C$2:$C$25, MATCH(1, (정량지표상세!$A$2:$A$25=$A8) * (정량지표상세!$B$2:$B$25=H$2), 0))),
"")</f>
        <v/>
      </c>
      <c r="I8" s="33" t="str">
        <f t="shared" si="0"/>
        <v/>
      </c>
      <c r="J8" s="33" t="str">
        <f t="shared" si="1"/>
        <v/>
      </c>
    </row>
    <row r="9" spans="1:10" x14ac:dyDescent="0.4">
      <c r="A9" s="45" t="s">
        <v>87</v>
      </c>
      <c r="B9" s="32"/>
      <c r="C9" s="32" t="s">
        <v>46</v>
      </c>
      <c r="D9" s="32"/>
      <c r="E9" s="32"/>
      <c r="F9" s="32">
        <v>4</v>
      </c>
      <c r="G9" s="32" t="str" cm="1">
        <f t="array" ref="G9">IFERROR(
    IF(ISNUMBER(INDEX(정량지표상세!$C$2:$C$25, MATCH(1, (정량지표상세!$A$2:$A$25=$A9) * (정량지표상세!$B$2:$B$25=G$2), 0))),
       SUMIFS(정량지표상세!$C$2:$C$25, 정량지표상세!$A$2:$A$25, $A9, 정량지표상세!$B$2:$B$25, G$2),
       INDEX(정량지표상세!$C$2:$C$25, MATCH(1, (정량지표상세!$A$2:$A$25=$A9) * (정량지표상세!$B$2:$B$25=G$2), 0))),
"")</f>
        <v/>
      </c>
      <c r="H9" s="32" t="str" cm="1">
        <f t="array" ref="H9">IFERROR(
    IF(ISNUMBER(INDEX(정량지표상세!$C$2:$C$25, MATCH(1, (정량지표상세!$A$2:$A$25=$A9) * (정량지표상세!$B$2:$B$25=H$2), 0))),
       SUMIFS(정량지표상세!$C$2:$C$25, 정량지표상세!$A$2:$A$25, $A9, 정량지표상세!$B$2:$B$25, H$2),
       INDEX(정량지표상세!$C$2:$C$25, MATCH(1, (정량지표상세!$A$2:$A$25=$A9) * (정량지표상세!$B$2:$B$25=H$2), 0))),
"")</f>
        <v/>
      </c>
      <c r="I9" s="33" t="str">
        <f t="shared" si="0"/>
        <v/>
      </c>
      <c r="J9" s="33" t="str">
        <f t="shared" si="1"/>
        <v>미달성</v>
      </c>
    </row>
    <row r="10" spans="1:10" x14ac:dyDescent="0.4">
      <c r="A10" s="45" t="s">
        <v>88</v>
      </c>
      <c r="B10" s="32"/>
      <c r="C10" s="32" t="s">
        <v>46</v>
      </c>
      <c r="D10" s="32"/>
      <c r="E10" s="32"/>
      <c r="F10" s="32">
        <v>4</v>
      </c>
      <c r="G10" s="32" t="str" cm="1">
        <f t="array" ref="G10">IFERROR(
    IF(ISNUMBER(INDEX(정량지표상세!$C$2:$C$25, MATCH(1, (정량지표상세!$A$2:$A$25=$A10) * (정량지표상세!$B$2:$B$25=G$2), 0))),
       SUMIFS(정량지표상세!$C$2:$C$25, 정량지표상세!$A$2:$A$25, $A10, 정량지표상세!$B$2:$B$25, G$2),
       INDEX(정량지표상세!$C$2:$C$25, MATCH(1, (정량지표상세!$A$2:$A$25=$A10) * (정량지표상세!$B$2:$B$25=G$2), 0))),
"")</f>
        <v/>
      </c>
      <c r="H10" s="32" t="str" cm="1">
        <f t="array" ref="H10">IFERROR(
    IF(ISNUMBER(INDEX(정량지표상세!$C$2:$C$25, MATCH(1, (정량지표상세!$A$2:$A$25=$A10) * (정량지표상세!$B$2:$B$25=H$2), 0))),
       SUMIFS(정량지표상세!$C$2:$C$25, 정량지표상세!$A$2:$A$25, $A10, 정량지표상세!$B$2:$B$25, H$2),
       INDEX(정량지표상세!$C$2:$C$25, MATCH(1, (정량지표상세!$A$2:$A$25=$A10) * (정량지표상세!$B$2:$B$25=H$2), 0))),
"")</f>
        <v/>
      </c>
      <c r="I10" s="33" t="str">
        <f t="shared" si="0"/>
        <v/>
      </c>
      <c r="J10" s="33" t="str">
        <f t="shared" si="1"/>
        <v>미달성</v>
      </c>
    </row>
    <row r="11" spans="1:10" x14ac:dyDescent="0.4">
      <c r="A11" s="45" t="s">
        <v>89</v>
      </c>
      <c r="B11" s="32"/>
      <c r="C11" s="32" t="s">
        <v>90</v>
      </c>
      <c r="D11" s="32">
        <v>15</v>
      </c>
      <c r="E11" s="32">
        <v>2</v>
      </c>
      <c r="F11" s="32">
        <v>4</v>
      </c>
      <c r="G11" s="32" t="str" cm="1">
        <f t="array" ref="G11">IFERROR(
    IF(ISNUMBER(INDEX(정량지표상세!$C$2:$C$25, MATCH(1, (정량지표상세!$A$2:$A$25=$A11) * (정량지표상세!$B$2:$B$25=G$2), 0))),
       SUMIFS(정량지표상세!$C$2:$C$25, 정량지표상세!$A$2:$A$25, $A11, 정량지표상세!$B$2:$B$25, G$2),
       INDEX(정량지표상세!$C$2:$C$25, MATCH(1, (정량지표상세!$A$2:$A$25=$A11) * (정량지표상세!$B$2:$B$25=G$2), 0))),
"")</f>
        <v/>
      </c>
      <c r="H11" s="32" t="str" cm="1">
        <f t="array" ref="H11">IFERROR(
    IF(ISNUMBER(INDEX(정량지표상세!$C$2:$C$25, MATCH(1, (정량지표상세!$A$2:$A$25=$A11) * (정량지표상세!$B$2:$B$25=H$2), 0))),
       SUMIFS(정량지표상세!$C$2:$C$25, 정량지표상세!$A$2:$A$25, $A11, 정량지표상세!$B$2:$B$25, H$2),
       INDEX(정량지표상세!$C$2:$C$25, MATCH(1, (정량지표상세!$A$2:$A$25=$A11) * (정량지표상세!$B$2:$B$25=H$2), 0))),
"")</f>
        <v/>
      </c>
      <c r="I11" s="33" t="str">
        <f t="shared" si="0"/>
        <v>미달성</v>
      </c>
      <c r="J11" s="33" t="str">
        <f t="shared" si="1"/>
        <v>미달성</v>
      </c>
    </row>
    <row r="12" spans="1:10" x14ac:dyDescent="0.4">
      <c r="A12" s="45" t="s">
        <v>91</v>
      </c>
      <c r="B12" s="32"/>
      <c r="C12" s="32" t="s">
        <v>90</v>
      </c>
      <c r="D12" s="32"/>
      <c r="E12" s="32">
        <v>1</v>
      </c>
      <c r="F12" s="32"/>
      <c r="G12" s="32" t="str" cm="1">
        <f t="array" ref="G12">IFERROR(
    IF(ISNUMBER(INDEX(정량지표상세!$C$2:$C$25, MATCH(1, (정량지표상세!$A$2:$A$25=$A12) * (정량지표상세!$B$2:$B$25=G$2), 0))),
       SUMIFS(정량지표상세!$C$2:$C$25, 정량지표상세!$A$2:$A$25, $A12, 정량지표상세!$B$2:$B$25, G$2),
       INDEX(정량지표상세!$C$2:$C$25, MATCH(1, (정량지표상세!$A$2:$A$25=$A12) * (정량지표상세!$B$2:$B$25=G$2), 0))),
"")</f>
        <v/>
      </c>
      <c r="H12" s="32" t="str" cm="1">
        <f t="array" ref="H12">IFERROR(
    IF(ISNUMBER(INDEX(정량지표상세!$C$2:$C$25, MATCH(1, (정량지표상세!$A$2:$A$25=$A12) * (정량지표상세!$B$2:$B$25=H$2), 0))),
       SUMIFS(정량지표상세!$C$2:$C$25, 정량지표상세!$A$2:$A$25, $A12, 정량지표상세!$B$2:$B$25, H$2),
       INDEX(정량지표상세!$C$2:$C$25, MATCH(1, (정량지표상세!$A$2:$A$25=$A12) * (정량지표상세!$B$2:$B$25=H$2), 0))),
"")</f>
        <v/>
      </c>
      <c r="I12" s="33" t="str">
        <f t="shared" si="0"/>
        <v>미달성</v>
      </c>
      <c r="J12" s="33" t="str">
        <f t="shared" si="1"/>
        <v/>
      </c>
    </row>
    <row r="13" spans="1:10" x14ac:dyDescent="0.4">
      <c r="A13" s="45" t="s">
        <v>92</v>
      </c>
      <c r="B13" s="32"/>
      <c r="C13" s="32" t="s">
        <v>90</v>
      </c>
      <c r="D13" s="32"/>
      <c r="E13" s="32">
        <v>2</v>
      </c>
      <c r="F13" s="32"/>
      <c r="G13" s="32" t="str" cm="1">
        <f t="array" ref="G13">IFERROR(
    IF(ISNUMBER(INDEX(정량지표상세!$C$2:$C$25, MATCH(1, (정량지표상세!$A$2:$A$25=$A13) * (정량지표상세!$B$2:$B$25=G$2), 0))),
       SUMIFS(정량지표상세!$C$2:$C$25, 정량지표상세!$A$2:$A$25, $A13, 정량지표상세!$B$2:$B$25, G$2),
       INDEX(정량지표상세!$C$2:$C$25, MATCH(1, (정량지표상세!$A$2:$A$25=$A13) * (정량지표상세!$B$2:$B$25=G$2), 0))),
"")</f>
        <v/>
      </c>
      <c r="H13" s="32" t="str" cm="1">
        <f t="array" ref="H13">IFERROR(
    IF(ISNUMBER(INDEX(정량지표상세!$C$2:$C$25, MATCH(1, (정량지표상세!$A$2:$A$25=$A13) * (정량지표상세!$B$2:$B$25=H$2), 0))),
       SUMIFS(정량지표상세!$C$2:$C$25, 정량지표상세!$A$2:$A$25, $A13, 정량지표상세!$B$2:$B$25, H$2),
       INDEX(정량지표상세!$C$2:$C$25, MATCH(1, (정량지표상세!$A$2:$A$25=$A13) * (정량지표상세!$B$2:$B$25=H$2), 0))),
"")</f>
        <v/>
      </c>
      <c r="I13" s="33" t="str">
        <f t="shared" si="0"/>
        <v>미달성</v>
      </c>
      <c r="J13" s="33" t="str">
        <f t="shared" si="1"/>
        <v/>
      </c>
    </row>
    <row r="14" spans="1:10" x14ac:dyDescent="0.4">
      <c r="A14" s="45" t="s">
        <v>93</v>
      </c>
      <c r="B14" s="32"/>
      <c r="C14" s="32" t="s">
        <v>90</v>
      </c>
      <c r="D14" s="32"/>
      <c r="E14" s="32">
        <v>8</v>
      </c>
      <c r="F14" s="32">
        <v>1</v>
      </c>
      <c r="G14" s="32" t="str" cm="1">
        <f t="array" ref="G14">IFERROR(
    IF(ISNUMBER(INDEX(정량지표상세!$C$2:$C$25, MATCH(1, (정량지표상세!$A$2:$A$25=$A14) * (정량지표상세!$B$2:$B$25=G$2), 0))),
       SUMIFS(정량지표상세!$C$2:$C$25, 정량지표상세!$A$2:$A$25, $A14, 정량지표상세!$B$2:$B$25, G$2),
       INDEX(정량지표상세!$C$2:$C$25, MATCH(1, (정량지표상세!$A$2:$A$25=$A14) * (정량지표상세!$B$2:$B$25=G$2), 0))),
"")</f>
        <v/>
      </c>
      <c r="H14" s="32" t="str" cm="1">
        <f t="array" ref="H14">IFERROR(
    IF(ISNUMBER(INDEX(정량지표상세!$C$2:$C$25, MATCH(1, (정량지표상세!$A$2:$A$25=$A14) * (정량지표상세!$B$2:$B$25=H$2), 0))),
       SUMIFS(정량지표상세!$C$2:$C$25, 정량지표상세!$A$2:$A$25, $A14, 정량지표상세!$B$2:$B$25, H$2),
       INDEX(정량지표상세!$C$2:$C$25, MATCH(1, (정량지표상세!$A$2:$A$25=$A14) * (정량지표상세!$B$2:$B$25=H$2), 0))),
"")</f>
        <v/>
      </c>
      <c r="I14" s="33" t="str">
        <f t="shared" si="0"/>
        <v>미달성</v>
      </c>
      <c r="J14" s="33" t="str">
        <f t="shared" si="1"/>
        <v>미달성</v>
      </c>
    </row>
    <row r="15" spans="1:10" x14ac:dyDescent="0.4">
      <c r="A15" s="45" t="s">
        <v>94</v>
      </c>
      <c r="B15" s="32"/>
      <c r="C15" s="32" t="s">
        <v>90</v>
      </c>
      <c r="D15" s="32"/>
      <c r="E15" s="32"/>
      <c r="F15" s="32"/>
      <c r="G15" s="32" t="str" cm="1">
        <f t="array" ref="G15">IFERROR(
    IF(ISNUMBER(INDEX(정량지표상세!$C$2:$C$25, MATCH(1, (정량지표상세!$A$2:$A$25=$A15) * (정량지표상세!$B$2:$B$25=G$2), 0))),
       SUMIFS(정량지표상세!$C$2:$C$25, 정량지표상세!$A$2:$A$25, $A15, 정량지표상세!$B$2:$B$25, G$2),
       INDEX(정량지표상세!$C$2:$C$25, MATCH(1, (정량지표상세!$A$2:$A$25=$A15) * (정량지표상세!$B$2:$B$25=G$2), 0))),
"")</f>
        <v/>
      </c>
      <c r="H15" s="32" t="str" cm="1">
        <f t="array" ref="H15">IFERROR(
    IF(ISNUMBER(INDEX(정량지표상세!$C$2:$C$25, MATCH(1, (정량지표상세!$A$2:$A$25=$A15) * (정량지표상세!$B$2:$B$25=H$2), 0))),
       SUMIFS(정량지표상세!$C$2:$C$25, 정량지표상세!$A$2:$A$25, $A15, 정량지표상세!$B$2:$B$25, H$2),
       INDEX(정량지표상세!$C$2:$C$25, MATCH(1, (정량지표상세!$A$2:$A$25=$A15) * (정량지표상세!$B$2:$B$25=H$2), 0))),
"")</f>
        <v/>
      </c>
      <c r="I15" s="33" t="str">
        <f t="shared" si="0"/>
        <v/>
      </c>
      <c r="J15" s="33" t="str">
        <f t="shared" si="1"/>
        <v/>
      </c>
    </row>
    <row r="16" spans="1:10" x14ac:dyDescent="0.4">
      <c r="A16" s="44" t="s">
        <v>95</v>
      </c>
      <c r="B16" s="32"/>
      <c r="C16" s="32" t="s">
        <v>90</v>
      </c>
      <c r="D16" s="32"/>
      <c r="E16" s="32">
        <v>1</v>
      </c>
      <c r="F16" s="32"/>
      <c r="G16" s="32" t="str" cm="1">
        <f t="array" ref="G16">IFERROR(
    IF(ISNUMBER(INDEX(정량지표상세!$C$2:$C$25, MATCH(1, (정량지표상세!$A$2:$A$25=$A16) * (정량지표상세!$B$2:$B$25=G$2), 0))),
       SUMIFS(정량지표상세!$C$2:$C$25, 정량지표상세!$A$2:$A$25, $A16, 정량지표상세!$B$2:$B$25, G$2),
       INDEX(정량지표상세!$C$2:$C$25, MATCH(1, (정량지표상세!$A$2:$A$25=$A16) * (정량지표상세!$B$2:$B$25=G$2), 0))),
"")</f>
        <v/>
      </c>
      <c r="H16" s="32" t="str" cm="1">
        <f t="array" ref="H16">IFERROR(
    IF(ISNUMBER(INDEX(정량지표상세!$C$2:$C$25, MATCH(1, (정량지표상세!$A$2:$A$25=$A16) * (정량지표상세!$B$2:$B$25=H$2), 0))),
       SUMIFS(정량지표상세!$C$2:$C$25, 정량지표상세!$A$2:$A$25, $A16, 정량지표상세!$B$2:$B$25, H$2),
       INDEX(정량지표상세!$C$2:$C$25, MATCH(1, (정량지표상세!$A$2:$A$25=$A16) * (정량지표상세!$B$2:$B$25=H$2), 0))),
"")</f>
        <v/>
      </c>
      <c r="I16" s="33" t="str">
        <f t="shared" si="0"/>
        <v>미달성</v>
      </c>
      <c r="J16" s="33" t="str">
        <f t="shared" si="1"/>
        <v/>
      </c>
    </row>
    <row r="17" spans="1:10" x14ac:dyDescent="0.4">
      <c r="A17" s="44" t="s">
        <v>47</v>
      </c>
      <c r="B17" s="32"/>
      <c r="C17" s="34"/>
      <c r="D17" s="32">
        <v>100</v>
      </c>
      <c r="E17" s="34"/>
      <c r="F17" s="34"/>
      <c r="G17" s="32" t="str" cm="1">
        <f t="array" ref="G17">IFERROR(
    IF(ISNUMBER(INDEX(정량지표상세!$C$2:$C$25, MATCH(1, (정량지표상세!$A$2:$A$25=$A17) * (정량지표상세!$B$2:$B$25=G$2), 0))),
       SUMIFS(정량지표상세!$C$2:$C$25, 정량지표상세!$A$2:$A$25, $A17, 정량지표상세!$B$2:$B$25, G$2),
       INDEX(정량지표상세!$C$2:$C$25, MATCH(1, (정량지표상세!$A$2:$A$25=$A17) * (정량지표상세!$B$2:$B$25=G$2), 0))),
"")</f>
        <v/>
      </c>
      <c r="H17" s="32" t="str" cm="1">
        <f t="array" ref="H17">IFERROR(
    IF(ISNUMBER(INDEX(정량지표상세!$C$2:$C$25, MATCH(1, (정량지표상세!$A$2:$A$25=$A17) * (정량지표상세!$B$2:$B$25=H$2), 0))),
       SUMIFS(정량지표상세!$C$2:$C$25, 정량지표상세!$A$2:$A$25, $A17, 정량지표상세!$B$2:$B$25, H$2),
       INDEX(정량지표상세!$C$2:$C$25, MATCH(1, (정량지표상세!$A$2:$A$25=$A17) * (정량지표상세!$B$2:$B$25=H$2), 0))),
"")</f>
        <v/>
      </c>
      <c r="I17" s="33" t="str">
        <f t="shared" si="0"/>
        <v/>
      </c>
      <c r="J17" s="33" t="str">
        <f t="shared" si="1"/>
        <v/>
      </c>
    </row>
  </sheetData>
  <mergeCells count="5">
    <mergeCell ref="I1:J1"/>
    <mergeCell ref="A1:A2"/>
    <mergeCell ref="B1:B2"/>
    <mergeCell ref="C1:C2"/>
    <mergeCell ref="D1:D2"/>
  </mergeCells>
  <phoneticPr fontId="3" type="noConversion"/>
  <conditionalFormatting sqref="I3:J17">
    <cfRule type="cellIs" dxfId="0" priority="1" operator="equal">
      <formula>"달성"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984EF-85BE-482C-97EB-42ED1E772565}">
  <dimension ref="A1:E23"/>
  <sheetViews>
    <sheetView workbookViewId="0">
      <selection activeCell="D8" sqref="D8:D9"/>
    </sheetView>
  </sheetViews>
  <sheetFormatPr defaultRowHeight="17.399999999999999" x14ac:dyDescent="0.4"/>
  <cols>
    <col min="4" max="4" width="31.3984375" customWidth="1"/>
  </cols>
  <sheetData>
    <row r="1" spans="1:5" ht="18" thickBot="1" x14ac:dyDescent="0.45">
      <c r="A1" s="46" t="s">
        <v>48</v>
      </c>
      <c r="B1" s="47" t="s">
        <v>49</v>
      </c>
      <c r="C1" s="47" t="s">
        <v>50</v>
      </c>
      <c r="D1" s="47" t="s">
        <v>44</v>
      </c>
    </row>
    <row r="2" spans="1:5" x14ac:dyDescent="0.4">
      <c r="A2" t="s">
        <v>96</v>
      </c>
      <c r="B2" t="s">
        <v>97</v>
      </c>
      <c r="C2">
        <v>1</v>
      </c>
      <c r="D2" t="s">
        <v>111</v>
      </c>
      <c r="E2" t="s">
        <v>98</v>
      </c>
    </row>
    <row r="3" spans="1:5" x14ac:dyDescent="0.4">
      <c r="A3" t="s">
        <v>96</v>
      </c>
      <c r="B3" t="s">
        <v>97</v>
      </c>
      <c r="C3">
        <v>1</v>
      </c>
      <c r="D3" t="s">
        <v>99</v>
      </c>
      <c r="E3" t="s">
        <v>100</v>
      </c>
    </row>
    <row r="4" spans="1:5" x14ac:dyDescent="0.4">
      <c r="A4" t="s">
        <v>96</v>
      </c>
      <c r="B4" t="s">
        <v>97</v>
      </c>
      <c r="C4">
        <v>1</v>
      </c>
      <c r="D4" t="s">
        <v>99</v>
      </c>
      <c r="E4" t="s">
        <v>101</v>
      </c>
    </row>
    <row r="5" spans="1:5" x14ac:dyDescent="0.4">
      <c r="A5" t="s">
        <v>96</v>
      </c>
      <c r="B5" t="s">
        <v>97</v>
      </c>
      <c r="C5">
        <v>1</v>
      </c>
      <c r="D5" t="s">
        <v>111</v>
      </c>
      <c r="E5" t="s">
        <v>102</v>
      </c>
    </row>
    <row r="6" spans="1:5" x14ac:dyDescent="0.4">
      <c r="A6" t="s">
        <v>96</v>
      </c>
      <c r="B6" t="s">
        <v>97</v>
      </c>
      <c r="C6">
        <v>1</v>
      </c>
      <c r="D6" t="s">
        <v>111</v>
      </c>
      <c r="E6" t="s">
        <v>103</v>
      </c>
    </row>
    <row r="7" spans="1:5" x14ac:dyDescent="0.4">
      <c r="A7" t="s">
        <v>96</v>
      </c>
      <c r="B7" t="s">
        <v>97</v>
      </c>
      <c r="C7">
        <v>1</v>
      </c>
      <c r="D7" t="s">
        <v>111</v>
      </c>
      <c r="E7" t="s">
        <v>104</v>
      </c>
    </row>
    <row r="8" spans="1:5" x14ac:dyDescent="0.4">
      <c r="A8" t="s">
        <v>96</v>
      </c>
      <c r="B8" t="s">
        <v>97</v>
      </c>
      <c r="C8">
        <v>1</v>
      </c>
      <c r="D8" t="s">
        <v>111</v>
      </c>
      <c r="E8" t="s">
        <v>105</v>
      </c>
    </row>
    <row r="9" spans="1:5" x14ac:dyDescent="0.4">
      <c r="A9" t="s">
        <v>96</v>
      </c>
      <c r="B9" t="s">
        <v>97</v>
      </c>
      <c r="C9">
        <v>1</v>
      </c>
      <c r="D9" t="s">
        <v>112</v>
      </c>
      <c r="E9" t="s">
        <v>106</v>
      </c>
    </row>
    <row r="10" spans="1:5" x14ac:dyDescent="0.4">
      <c r="A10" t="s">
        <v>96</v>
      </c>
      <c r="B10" t="s">
        <v>80</v>
      </c>
      <c r="C10">
        <v>1</v>
      </c>
      <c r="D10" t="s">
        <v>99</v>
      </c>
      <c r="E10" t="s">
        <v>107</v>
      </c>
    </row>
    <row r="11" spans="1:5" x14ac:dyDescent="0.4">
      <c r="A11" t="s">
        <v>96</v>
      </c>
      <c r="B11" t="s">
        <v>80</v>
      </c>
      <c r="C11">
        <v>1</v>
      </c>
      <c r="D11" t="s">
        <v>111</v>
      </c>
      <c r="E11" t="s">
        <v>108</v>
      </c>
    </row>
    <row r="12" spans="1:5" x14ac:dyDescent="0.4">
      <c r="A12" t="s">
        <v>109</v>
      </c>
      <c r="B12" t="s">
        <v>97</v>
      </c>
      <c r="C12">
        <v>1</v>
      </c>
      <c r="D12" t="s">
        <v>112</v>
      </c>
      <c r="E12" t="s">
        <v>110</v>
      </c>
    </row>
    <row r="13" spans="1:5" x14ac:dyDescent="0.4">
      <c r="A13" t="s">
        <v>109</v>
      </c>
      <c r="B13" t="s">
        <v>97</v>
      </c>
      <c r="C13">
        <v>1</v>
      </c>
      <c r="D13" t="s">
        <v>112</v>
      </c>
      <c r="E13" t="s">
        <v>110</v>
      </c>
    </row>
    <row r="14" spans="1:5" x14ac:dyDescent="0.4">
      <c r="A14" t="s">
        <v>109</v>
      </c>
      <c r="B14" t="s">
        <v>97</v>
      </c>
      <c r="C14">
        <v>1</v>
      </c>
      <c r="D14" t="s">
        <v>112</v>
      </c>
      <c r="E14" t="s">
        <v>110</v>
      </c>
    </row>
    <row r="15" spans="1:5" x14ac:dyDescent="0.4">
      <c r="A15" t="s">
        <v>109</v>
      </c>
      <c r="B15" t="s">
        <v>97</v>
      </c>
      <c r="C15">
        <v>1</v>
      </c>
      <c r="D15" t="s">
        <v>112</v>
      </c>
      <c r="E15" t="s">
        <v>110</v>
      </c>
    </row>
    <row r="16" spans="1:5" x14ac:dyDescent="0.4">
      <c r="A16" t="s">
        <v>109</v>
      </c>
      <c r="B16" t="s">
        <v>97</v>
      </c>
      <c r="C16">
        <v>1</v>
      </c>
      <c r="D16" t="s">
        <v>112</v>
      </c>
      <c r="E16" t="s">
        <v>110</v>
      </c>
    </row>
    <row r="17" spans="1:5" x14ac:dyDescent="0.4">
      <c r="A17" t="s">
        <v>109</v>
      </c>
      <c r="B17" t="s">
        <v>97</v>
      </c>
      <c r="C17">
        <v>1</v>
      </c>
      <c r="D17" t="s">
        <v>112</v>
      </c>
      <c r="E17" t="s">
        <v>110</v>
      </c>
    </row>
    <row r="18" spans="1:5" x14ac:dyDescent="0.4">
      <c r="A18" t="s">
        <v>109</v>
      </c>
      <c r="B18" t="s">
        <v>97</v>
      </c>
      <c r="C18">
        <v>1</v>
      </c>
      <c r="D18" t="s">
        <v>112</v>
      </c>
      <c r="E18" t="s">
        <v>110</v>
      </c>
    </row>
    <row r="19" spans="1:5" x14ac:dyDescent="0.4">
      <c r="A19" t="s">
        <v>109</v>
      </c>
      <c r="B19" t="s">
        <v>97</v>
      </c>
      <c r="C19">
        <v>1</v>
      </c>
      <c r="D19" t="s">
        <v>112</v>
      </c>
      <c r="E19" t="s">
        <v>110</v>
      </c>
    </row>
    <row r="20" spans="1:5" x14ac:dyDescent="0.4">
      <c r="A20" t="s">
        <v>109</v>
      </c>
      <c r="B20" t="s">
        <v>97</v>
      </c>
      <c r="C20">
        <v>1</v>
      </c>
      <c r="D20" t="s">
        <v>112</v>
      </c>
      <c r="E20" t="s">
        <v>110</v>
      </c>
    </row>
    <row r="21" spans="1:5" x14ac:dyDescent="0.4">
      <c r="A21" t="s">
        <v>109</v>
      </c>
      <c r="B21" t="s">
        <v>97</v>
      </c>
      <c r="C21">
        <v>1</v>
      </c>
      <c r="D21" t="s">
        <v>112</v>
      </c>
      <c r="E21" t="s">
        <v>110</v>
      </c>
    </row>
    <row r="22" spans="1:5" x14ac:dyDescent="0.4">
      <c r="A22" t="s">
        <v>109</v>
      </c>
      <c r="B22" t="s">
        <v>97</v>
      </c>
      <c r="C22">
        <v>1</v>
      </c>
      <c r="D22" t="s">
        <v>112</v>
      </c>
      <c r="E22" t="s">
        <v>110</v>
      </c>
    </row>
    <row r="23" spans="1:5" x14ac:dyDescent="0.4">
      <c r="A23" t="s">
        <v>109</v>
      </c>
      <c r="B23" t="s">
        <v>97</v>
      </c>
      <c r="C23">
        <v>1</v>
      </c>
      <c r="D23" t="s">
        <v>112</v>
      </c>
      <c r="E23" t="s">
        <v>110</v>
      </c>
    </row>
  </sheetData>
  <phoneticPr fontId="3" type="noConversion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556e23fd-9f3a-45ef-a5a1-aa2bcc2ee111}" enabled="1" method="Standard" siteId="{0e0de970-ba32-48a4-a048-99d48e6eb28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개요</vt:lpstr>
      <vt:lpstr>사업비</vt:lpstr>
      <vt:lpstr>마일스톤</vt:lpstr>
      <vt:lpstr>정량지표</vt:lpstr>
      <vt:lpstr>정량지표상세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박인영 (Inyeong Park)</dc:creator>
  <cp:keywords/>
  <dc:description/>
  <cp:lastModifiedBy>박인영 (Inyeong Park)</cp:lastModifiedBy>
  <cp:revision/>
  <dcterms:created xsi:type="dcterms:W3CDTF">2026-04-08T23:12:00Z</dcterms:created>
  <dcterms:modified xsi:type="dcterms:W3CDTF">2026-04-16T07:04:31Z</dcterms:modified>
  <cp:category/>
  <cp:contentStatus/>
</cp:coreProperties>
</file>