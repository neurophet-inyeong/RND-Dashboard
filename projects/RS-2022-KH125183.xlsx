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34EA3D1A-AE65-4F83-8EC3-149D9F6E1216}" xr6:coauthVersionLast="47" xr6:coauthVersionMax="47" xr10:uidLastSave="{00000000-0000-0000-0000-000000000000}"/>
  <bookViews>
    <workbookView xWindow="28680" yWindow="-120" windowWidth="29040" windowHeight="15720" activeTab="4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  <sheet name="진행상황" sheetId="7" r:id="rId5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G4" i="5" l="1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 s="1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<sst xmlns="http://schemas.openxmlformats.org/spreadsheetml/2006/main" count="250" uniqueCount="135">
  <si>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</si>
  <si>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</si>
  <si>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</si>
  <si>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</si>
  <si>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</si>
  <si>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</si>
  <si>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</si>
  <si>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</si>
  <si>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</si>
  <si>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</si>
  <si>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</si>
  <si>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</si>
  <si>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</si>
  <si>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연차별 연구개발 달성률</t>
    <phoneticPr fontId="6" type="noConversion"/>
  </si>
  <si>
    <t>합계</t>
  </si>
  <si>
    <t>단계-연차</t>
    <phoneticPr fontId="6" type="noConversion"/>
  </si>
  <si>
    <t>달성</t>
    <phoneticPr fontId="6" type="noConversion"/>
  </si>
  <si>
    <t>목표</t>
    <phoneticPr fontId="2" type="noConversion"/>
  </si>
  <si>
    <t>R&amp;D</t>
  </si>
  <si>
    <t>보건복지부</t>
  </si>
  <si>
    <t>한국보건산업진흥원</t>
  </si>
  <si>
    <t>2022년도 제1차 보건의료기술연구개발사업</t>
  </si>
  <si>
    <t>고정밀 경두개직류전기자극을 이용한 알츠하이머병 치료기술 개발</t>
  </si>
  <si>
    <t>RS-2022-KH125183</t>
  </si>
  <si>
    <t>주관(김동현)</t>
  </si>
  <si>
    <t>이지바로</t>
  </si>
  <si>
    <t xml:space="preserve">국문 "본 연구는 보건복지부의 재원으로 한국보건산업진흥원의 보건의료기술연구개발사업 지원에 의하여 이루어진 것임 (과제고유번호 : RS-2022-KH125183)." 
영문 "This research was supported by a grant of the Korea Health Technology R&amp;D Project through the Korea Health Industry Development Institute(KHIDI),funded by the Ministry of Health&amp;Welfare, Republic of Korea (grant number : RS-2022-KH125183 )." </t>
  </si>
  <si>
    <t>1단계 1연차</t>
  </si>
  <si>
    <t>1단계 2연차</t>
  </si>
  <si>
    <t>1단계 3연차</t>
  </si>
  <si>
    <t>2단계 1연차</t>
  </si>
  <si>
    <t>2단계 2연차</t>
  </si>
  <si>
    <t>치매 고위험군 대상 고정밀 tDCS 탐색임상시험 종료</t>
  </si>
  <si>
    <t>치매 고위험군 대상 고정밀 tDCS 탐색임상시험 결과 보고</t>
  </si>
  <si>
    <t xml:space="preserve">치매 고위험군 대상 고정밀 tDCS 장기 적용 품목허가 임상 식약처 승인 </t>
  </si>
  <si>
    <t>치매 고위험군 대상 고정밀 tDCS 장기 적용 품목허가 임상 연구 수행</t>
  </si>
  <si>
    <t>품목허가 임상연구 수행 중 유해 사건 관리 및 대응</t>
  </si>
  <si>
    <t xml:space="preserve">새로운 산발성 알츠하이머병 모델 구축 </t>
  </si>
  <si>
    <t>산발성 알츠하이머병 모델 tDCS 적용</t>
  </si>
  <si>
    <t>산발성 알츠하이머병 모델의 tDCS 적용 전후 뇌파 분석</t>
  </si>
  <si>
    <t>산발성 알츠하이머병 모델의 tDCS 적용 전후 감마파 변화 분석</t>
  </si>
  <si>
    <t>산발성 알츠하이머병 모델의 tDCS 적용 전후 분자적 작용 기전 분석</t>
  </si>
  <si>
    <t>치매 위험⦁보호 인자를 고려한 고정밀 tDCS 장기 적용 최적 효과 확인</t>
  </si>
  <si>
    <t>뇌구조⦁물리적 특성을 고려한 고정밀 tDCS 장기 적용 최적 효과 확인</t>
  </si>
  <si>
    <t>치매 고위험군 대상 고정밀 tDCS 장기 적용 품목허가 신청</t>
  </si>
  <si>
    <t xml:space="preserve">tDCS 적용 후 마우스 행동 특성 변화 분석 </t>
  </si>
  <si>
    <t xml:space="preserve">산발성 알츠하이머병 모델의 tDCS 적용 후 마우스 행동 특성 변화 분석 </t>
  </si>
  <si>
    <t>tDCS의 알츠하이머병 치료의 분자적 작용기전 분석</t>
  </si>
  <si>
    <t>tDCS의 알츠하이머병 치료 효과 및 작용 기전 규명</t>
  </si>
  <si>
    <t>국외SCI(E)등재학술지</t>
  </si>
  <si>
    <t>국외SCI(E)비등재학술지</t>
  </si>
  <si>
    <t>국내SCI(E)등재학술지</t>
  </si>
  <si>
    <t>국내SCI(E)비등재학술지</t>
  </si>
  <si>
    <t>국제출원</t>
  </si>
  <si>
    <t>국제등록</t>
  </si>
  <si>
    <t>국내출원</t>
  </si>
  <si>
    <t>국내등록</t>
  </si>
  <si>
    <t>신규 고용창출</t>
  </si>
  <si>
    <t>학사</t>
  </si>
  <si>
    <t>석사</t>
  </si>
  <si>
    <t>박사</t>
  </si>
  <si>
    <t>기타</t>
  </si>
  <si>
    <t>임상시험실시</t>
  </si>
  <si>
    <t>갯수</t>
  </si>
  <si>
    <t>명</t>
  </si>
  <si>
    <t>1단계 3연차</t>
    <phoneticPr fontId="2" type="noConversion"/>
  </si>
  <si>
    <t>2단계 2연차</t>
    <phoneticPr fontId="2" type="noConversion"/>
  </si>
  <si>
    <t>광주과학기술원</t>
  </si>
  <si>
    <t>SeekingOptimal Montage for Single-pair Transcranial Direct Current stimulation Using Bayesian Optimization and Hyperband – A Feasibility Study</t>
  </si>
  <si>
    <t>가톨릭대학교 여의도성모</t>
  </si>
  <si>
    <t>Transcranial direct current stimulation and neuronal functional connectivity in MCI: role of individual factors associated to AD</t>
  </si>
  <si>
    <t>Effects of transcranial direct current stimulation on cognition in MCI with MCI with Alzheimer’s disease risk factors using Bayesian analysis</t>
  </si>
  <si>
    <t>Slow gut transit increases the risk of Alzheimer’s disease: An integrated study of the bi-national cohort in South Korea and Japan and Alzheimer’s disease model mice</t>
  </si>
  <si>
    <t>Effects and safety of transcranial direct current stimulation on multiple health outcomes: an umbrella review of randomized clinical trials</t>
  </si>
  <si>
    <t>Sleep disturbance correlated with severity of neuropathic pain in sciatic nerve crush injury model</t>
  </si>
  <si>
    <t>National trends in counseling for stress and depression and COVID-19 pandemic-related factors among adults, 2009–2022: A nationwide study in South Korea: Stress, depression, and pandemic</t>
  </si>
  <si>
    <t>뉴로핏 주식회사</t>
  </si>
  <si>
    <t>Safety and feasibility of optimized transcranial direct current stimulation in patients with mild cognitive impairment due to Alzheimer’s disease: a multicenter study protocol for a randomized controlled trial</t>
  </si>
  <si>
    <t>Alzheimer-related individual factors modulate effects of transcranial direct current stimulation strength on white matter integrity in mild cognitive impairment</t>
  </si>
  <si>
    <t>경두개 직류 자극술을 위한 맞춤형 헤드기어 설계방법, 서버 및 컴퓨터프로그램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</si>
  <si>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</si>
  <si>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</si>
  <si>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</si>
  <si>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</si>
  <si>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</si>
  <si>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</si>
  <si>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</si>
  <si>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</si>
  <si>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</si>
  <si>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</si>
  <si>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</si>
  <si>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2022-04-01 - 2026-12-31</t>
  </si>
  <si>
    <t>당해기간</t>
  </si>
  <si>
    <t>2026-01-01 - 2026-12-31 (2단계 2연차)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</si>
  <si>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</si>
  <si>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</si>
  <si>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</si>
  <si>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</si>
  <si>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</si>
  <si>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</si>
  <si>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</si>
  <si>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</si>
  <si>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</si>
  <si>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</si>
  <si>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</si>
  <si>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</si>
  <si>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</si>
  <si>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</si>
  <si>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</si>
  <si>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</si>
  <si>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</si>
  <si>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</si>
  <si>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</si>
  <si>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</si>
  <si>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</si>
  <si>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</si>
  <si>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</si>
  <si>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</si>
  <si>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</si>
  <si>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</si>
  <si>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</si>
  <si>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</si>
  <si>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</si>
  <si>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</si>
  <si>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</si>
  <si>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</si>
  <si>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</si>
  <si>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</si>
  <si>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날짜</t>
    <phoneticPr fontId="2" type="noConversion"/>
  </si>
  <si>
    <t>상태</t>
    <phoneticPr fontId="2" type="noConversion"/>
  </si>
  <si>
    <t>내용</t>
    <phoneticPr fontId="2" type="noConversion"/>
  </si>
  <si>
    <t>Progress</t>
    <phoneticPr fontId="2" type="noConversion"/>
  </si>
  <si>
    <t>광주-&gt;뉴로핏 사업비 변경 신청 중</t>
    <phoneticPr fontId="2" type="noConversion"/>
  </si>
  <si>
    <t>Risk</t>
    <phoneticPr fontId="2" type="noConversion"/>
  </si>
  <si>
    <t>확증임상시험 완료 못함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</si>
</sst>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B11" sqref="B11"/>
    </sheetView>
  </sheetViews>
  <sheetFormatPr defaultColWidth="17.59765625" defaultRowHeight="15" customHeight="1" x14ac:dyDescent="0.4"/>
  <cols>
    <col min="1" max="1" width="17.3984375" style="1" bestFit="1" customWidth="1"/>
    <col min="2" max="2" width="80.796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3.09765625" style="1" bestFit="1" customWidth="1"/>
    <col min="12" max="12" width="12" style="1" bestFit="1" customWidth="1"/>
    <col min="13" max="13" width="13.09765625" style="1" bestFit="1" customWidth="1"/>
    <col min="14" max="14" width="14.69921875" style="1" bestFit="1" customWidth="1"/>
    <col min="15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81</v>
      </c>
      <c r="B1" s="1" t="s">
        <v>82</v>
      </c>
      <c r="F1" s="1"/>
      <c r="G1" s="4" t="s">
        <v>99</v>
      </c>
    </row>
    <row r="2" spans="1:10" ht="17.399999999999999" x14ac:dyDescent="0.4">
      <c r="A2" t="s">
        <v>83</v>
      </c>
      <c r="B2" t="s">
        <v>18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RS-2022-KH125183</v>
      </c>
    </row>
    <row r="3" spans="1:10" ht="17.399999999999999" x14ac:dyDescent="0.4">
      <c r="A3" t="s">
        <v>84</v>
      </c>
      <c r="B3" t="s">
        <v>19</v>
      </c>
      <c r="E3" s="1"/>
      <c r="F3" s="1"/>
      <c r="G3" s="1"/>
    </row>
    <row r="4" spans="1:10" ht="17.399999999999999" x14ac:dyDescent="0.4">
      <c r="A4" t="s">
        <v>85</v>
      </c>
      <c r="B4" t="s">
        <v>20</v>
      </c>
      <c r="E4" s="1"/>
      <c r="F4" s="1"/>
      <c r="G4" s="1"/>
    </row>
    <row r="5" spans="1:10" ht="17.399999999999999" x14ac:dyDescent="0.4">
      <c r="A5" t="s">
        <v>86</v>
      </c>
      <c r="B5" t="s">
        <v>21</v>
      </c>
      <c r="E5" s="1"/>
      <c r="F5" s="1"/>
      <c r="G5" s="1"/>
    </row>
    <row r="6" spans="1:10" ht="17.399999999999999" x14ac:dyDescent="0.4">
      <c r="A6" t="s">
        <v>87</v>
      </c>
      <c r="B6" t="s">
        <v>22</v>
      </c>
      <c r="E6" s="1"/>
      <c r="F6" s="1"/>
      <c r="G6" s="1"/>
    </row>
    <row r="7" spans="1:10" ht="17.399999999999999" x14ac:dyDescent="0.4">
      <c r="A7" t="s">
        <v>88</v>
      </c>
      <c r="B7" t="s">
        <v>23</v>
      </c>
      <c r="E7" s="1"/>
      <c r="F7" s="1"/>
      <c r="G7" s="1"/>
    </row>
    <row r="8" spans="1:10" ht="17.399999999999999" x14ac:dyDescent="0.4">
      <c r="A8" t="s">
        <v>89</v>
      </c>
      <c r="B8" t="s">
        <v>24</v>
      </c>
      <c r="E8" s="1"/>
      <c r="F8" s="1"/>
      <c r="G8" s="1"/>
    </row>
    <row r="9" spans="1:10" ht="17.399999999999999" x14ac:dyDescent="0.4">
      <c r="A9" t="s">
        <v>90</v>
      </c>
      <c r="B9" t="s">
        <v>91</v>
      </c>
      <c r="C9" s="5"/>
      <c r="E9" s="1"/>
      <c r="F9" s="1"/>
      <c r="G9" s="1"/>
    </row>
    <row r="10" spans="1:10" ht="17.399999999999999" x14ac:dyDescent="0.4">
      <c r="A10" t="s">
        <v>92</v>
      </c>
      <c r="B10" t="s">
        <v>93</v>
      </c>
      <c r="C10" s="6"/>
      <c r="D10" s="5"/>
      <c r="E10" s="5"/>
      <c r="F10" s="1"/>
      <c r="G10" s="1"/>
    </row>
    <row r="11" spans="1:10" ht="17.399999999999999" x14ac:dyDescent="0.4">
      <c r="A11" t="s">
        <v>94</v>
      </c>
      <c r="B11">
        <v>12</v>
      </c>
      <c r="C11" s="5"/>
      <c r="D11" s="5"/>
      <c r="E11" s="5"/>
      <c r="F11" s="1"/>
      <c r="G11" s="1"/>
    </row>
    <row r="12" spans="1:10" ht="17.399999999999999" x14ac:dyDescent="0.4">
      <c r="A12" t="s">
        <v>95</v>
      </c>
      <c r="B12" t="s">
        <v>25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96</v>
      </c>
      <c r="B13" t="s">
        <v>26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97</v>
      </c>
      <c r="B14" s="24">
        <v>44558</v>
      </c>
      <c r="E14" s="1"/>
      <c r="F14" s="5"/>
      <c r="G14" s="1"/>
    </row>
    <row r="15" spans="1:10" ht="17.399999999999999" x14ac:dyDescent="0.4">
      <c r="A15" t="s">
        <v>98</v>
      </c>
      <c r="B15"/>
      <c r="C15" s="5"/>
      <c r="E15" s="1"/>
      <c r="F15" s="1"/>
      <c r="G15" s="1"/>
    </row>
    <row r="17" spans="1:15" ht="10.8" x14ac:dyDescent="0.4">
      <c r="A17" s="1" t="s">
        <v>81</v>
      </c>
      <c r="B17" s="1" t="s">
        <v>82</v>
      </c>
      <c r="C17" s="1" t="s">
        <v>100</v>
      </c>
      <c r="D17" s="1" t="s">
        <v>101</v>
      </c>
      <c r="E17" s="25" t="s">
        <v>102</v>
      </c>
      <c r="F17" s="5" t="s">
        <v>103</v>
      </c>
      <c r="G17" s="26" t="s">
        <v>104</v>
      </c>
      <c r="H17" s="1" t="s">
        <v>105</v>
      </c>
      <c r="I17" s="1" t="s">
        <v>106</v>
      </c>
      <c r="J17" s="1" t="s">
        <v>107</v>
      </c>
      <c r="K17" s="1" t="s">
        <v>108</v>
      </c>
      <c r="L17" s="1" t="s">
        <v>109</v>
      </c>
      <c r="M17" s="1" t="s">
        <v>110</v>
      </c>
      <c r="N17" s="1" t="s">
        <v>111</v>
      </c>
      <c r="O17" s="1" t="s">
        <v>112</v>
      </c>
    </row>
    <row r="18" spans="1:15" ht="17.399999999999999" x14ac:dyDescent="0.4">
      <c r="A18" t="s">
        <v>113</v>
      </c>
      <c r="B18" t="s">
        <v>114</v>
      </c>
      <c r="C18" t="s">
        <v>115</v>
      </c>
      <c r="D18" t="s">
        <v>116</v>
      </c>
      <c r="E18" t="s">
        <v>117</v>
      </c>
      <c r="F18" t="s">
        <v>118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2</v>
      </c>
    </row>
    <row r="19" spans="1:15" ht="17.399999999999999" x14ac:dyDescent="0.4">
      <c r="A19" t="s">
        <v>27</v>
      </c>
      <c r="B19" s="24">
        <v>44652</v>
      </c>
      <c r="C19" s="24">
        <v>44926</v>
      </c>
      <c r="D19">
        <v>9</v>
      </c>
      <c r="E19" s="27">
        <v>0</v>
      </c>
      <c r="F19" s="27">
        <v>40000000</v>
      </c>
      <c r="G19" s="27"/>
      <c r="H19" s="27">
        <v>1334000</v>
      </c>
      <c r="I19" s="27">
        <v>12000000</v>
      </c>
      <c r="J19" s="27">
        <v>13334000</v>
      </c>
      <c r="K19" s="27">
        <v>41334000</v>
      </c>
      <c r="L19" s="27">
        <v>12000000</v>
      </c>
      <c r="M19" s="27">
        <v>53334000</v>
      </c>
      <c r="N19" s="27">
        <v>260000000</v>
      </c>
      <c r="O19" s="27"/>
    </row>
    <row r="20" spans="1:15" ht="17.399999999999999" x14ac:dyDescent="0.4">
      <c r="A20" t="s">
        <v>28</v>
      </c>
      <c r="B20" s="24">
        <v>44927</v>
      </c>
      <c r="C20" s="24">
        <v>45291</v>
      </c>
      <c r="D20">
        <v>12</v>
      </c>
      <c r="E20" s="27">
        <v>1300000</v>
      </c>
      <c r="F20" s="27">
        <v>50000000</v>
      </c>
      <c r="G20" s="27"/>
      <c r="H20" s="27">
        <v>1667000</v>
      </c>
      <c r="I20" s="27">
        <v>15000000</v>
      </c>
      <c r="J20" s="27">
        <v>16667000</v>
      </c>
      <c r="K20" s="27">
        <v>51667000</v>
      </c>
      <c r="L20" s="27">
        <v>15000000</v>
      </c>
      <c r="M20" s="27">
        <v>66667000</v>
      </c>
      <c r="N20" s="27">
        <v>350000000</v>
      </c>
      <c r="O20" s="27"/>
    </row>
    <row r="21" spans="1:15" ht="17.399999999999999" x14ac:dyDescent="0.4">
      <c r="A21" t="s">
        <v>29</v>
      </c>
      <c r="B21" s="24">
        <v>45292</v>
      </c>
      <c r="C21" s="24">
        <v>45657</v>
      </c>
      <c r="D21">
        <v>12</v>
      </c>
      <c r="E21" s="27">
        <v>7825620</v>
      </c>
      <c r="F21" s="27">
        <v>50000000</v>
      </c>
      <c r="G21" s="27"/>
      <c r="H21" s="27">
        <v>1667000</v>
      </c>
      <c r="I21" s="27">
        <v>15000000</v>
      </c>
      <c r="J21" s="27">
        <v>16667000</v>
      </c>
      <c r="K21" s="27">
        <v>51667000</v>
      </c>
      <c r="L21" s="27">
        <v>15000000</v>
      </c>
      <c r="M21" s="27">
        <v>66667000</v>
      </c>
      <c r="N21" s="27">
        <v>350000000</v>
      </c>
      <c r="O21" s="27"/>
    </row>
    <row r="22" spans="1:15" ht="17.399999999999999" x14ac:dyDescent="0.4">
      <c r="A22" t="s">
        <v>30</v>
      </c>
      <c r="B22" s="24">
        <v>45658</v>
      </c>
      <c r="C22" s="24">
        <v>46022</v>
      </c>
      <c r="D22">
        <v>12</v>
      </c>
      <c r="E22" s="27">
        <v>16558661</v>
      </c>
      <c r="F22" s="27">
        <v>50000000</v>
      </c>
      <c r="G22" s="27"/>
      <c r="H22" s="27">
        <v>1667000</v>
      </c>
      <c r="I22" s="27">
        <v>15000000</v>
      </c>
      <c r="J22" s="27">
        <v>16667000</v>
      </c>
      <c r="K22" s="27">
        <v>51667000</v>
      </c>
      <c r="L22" s="27">
        <v>15000000</v>
      </c>
      <c r="M22" s="27">
        <v>66667000</v>
      </c>
      <c r="N22" s="27">
        <v>350000000</v>
      </c>
      <c r="O22" s="27"/>
    </row>
    <row r="23" spans="1:15" ht="17.399999999999999" x14ac:dyDescent="0.4">
      <c r="A23" t="s">
        <v>31</v>
      </c>
      <c r="B23" s="24">
        <v>46023</v>
      </c>
      <c r="C23" s="24">
        <v>46387</v>
      </c>
      <c r="D23">
        <v>12</v>
      </c>
      <c r="E23" s="27">
        <v>45705131</v>
      </c>
      <c r="F23" s="27">
        <v>45000000</v>
      </c>
      <c r="G23" s="27"/>
      <c r="H23" s="27">
        <v>1500000</v>
      </c>
      <c r="I23" s="27">
        <v>13500000</v>
      </c>
      <c r="J23" s="27">
        <v>15000000</v>
      </c>
      <c r="K23" s="27">
        <v>46500000</v>
      </c>
      <c r="L23" s="27">
        <v>13500000</v>
      </c>
      <c r="M23" s="27">
        <v>60000000</v>
      </c>
      <c r="N23" s="27">
        <v>350000000</v>
      </c>
      <c r="O23" s="27"/>
    </row>
    <row r="24" spans="1:15" ht="17.399999999999999" x14ac:dyDescent="0.4">
      <c r="A24" t="s">
        <v>127</v>
      </c>
      <c r="B24"/>
      <c r="C24"/>
      <c r="D24">
        <v>57</v>
      </c>
      <c r="E24" s="27">
        <v>0</v>
      </c>
      <c r="F24" s="27">
        <v>235000000</v>
      </c>
      <c r="G24" s="27">
        <v>0</v>
      </c>
      <c r="H24" s="27">
        <v>7835000</v>
      </c>
      <c r="I24" s="27">
        <v>70500000</v>
      </c>
      <c r="J24" s="27">
        <v>78335000</v>
      </c>
      <c r="K24" s="27">
        <v>242835000</v>
      </c>
      <c r="L24" s="27">
        <v>70500000</v>
      </c>
      <c r="M24" s="27">
        <v>313335000</v>
      </c>
      <c r="N24" s="27">
        <v>1660000000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I7" sqref="I7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8" t="s">
        <v>4</v>
      </c>
      <c r="G1" s="28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f>IF(B3&lt;&gt;"",SUBTOTAL(3,$B$3:B3),"")</f>
        <v>1</v>
      </c>
      <c r="B3" s="12" t="s">
        <v>32</v>
      </c>
      <c r="C3" s="9" t="s">
        <v>30</v>
      </c>
      <c r="D3" s="9">
        <v>45658</v>
      </c>
      <c r="E3" s="9">
        <v>45747</v>
      </c>
      <c r="F3" s="9">
        <v>45658</v>
      </c>
      <c r="G3" s="9">
        <v>45747</v>
      </c>
    </row>
    <row r="4" spans="1:7" x14ac:dyDescent="0.4">
      <c r="A4" s="15">
        <f>IF(B4&lt;&gt;"",SUBTOTAL(3,$B$3:B4),"")</f>
        <v>2</v>
      </c>
      <c r="B4" s="12" t="s">
        <v>33</v>
      </c>
      <c r="C4" s="9" t="s">
        <v>30</v>
      </c>
      <c r="D4" s="9">
        <v>45748</v>
      </c>
      <c r="E4" s="9">
        <v>45838</v>
      </c>
      <c r="F4" s="9">
        <v>45748</v>
      </c>
      <c r="G4" s="9">
        <v>45838</v>
      </c>
    </row>
    <row r="5" spans="1:7" x14ac:dyDescent="0.4">
      <c r="A5" s="15">
        <f>IF(B5&lt;&gt;"",SUBTOTAL(3,$B$3:B5),"")</f>
        <v>3</v>
      </c>
      <c r="B5" s="12" t="s">
        <v>34</v>
      </c>
      <c r="C5" s="9" t="s">
        <v>30</v>
      </c>
      <c r="D5" s="9">
        <v>45839</v>
      </c>
      <c r="E5" s="9">
        <v>45961</v>
      </c>
      <c r="F5" s="9">
        <v>45839</v>
      </c>
      <c r="G5" s="9">
        <v>45961</v>
      </c>
    </row>
    <row r="6" spans="1:7" x14ac:dyDescent="0.4">
      <c r="A6" s="15">
        <f>IF(B6&lt;&gt;"",SUBTOTAL(3,$B$3:B6),"")</f>
        <v>4</v>
      </c>
      <c r="B6" s="12" t="s">
        <v>35</v>
      </c>
      <c r="C6" s="9" t="s">
        <v>30</v>
      </c>
      <c r="D6" s="9">
        <v>45962</v>
      </c>
      <c r="E6" s="9">
        <v>46387</v>
      </c>
      <c r="F6" s="9">
        <v>45962</v>
      </c>
      <c r="G6" s="9"/>
    </row>
    <row r="7" spans="1:7" x14ac:dyDescent="0.4">
      <c r="A7" s="15">
        <f>IF(B7&lt;&gt;"",SUBTOTAL(3,$B$3:B7),"")</f>
        <v>5</v>
      </c>
      <c r="B7" s="12" t="s">
        <v>36</v>
      </c>
      <c r="C7" s="9" t="s">
        <v>30</v>
      </c>
      <c r="D7" s="9">
        <v>45778</v>
      </c>
      <c r="E7" s="9">
        <v>46022</v>
      </c>
      <c r="F7" s="9">
        <v>45778</v>
      </c>
      <c r="G7" s="9">
        <v>46022</v>
      </c>
    </row>
    <row r="8" spans="1:7" x14ac:dyDescent="0.4">
      <c r="A8" s="15">
        <f>IF(B8&lt;&gt;"",SUBTOTAL(3,$B$3:B8),"")</f>
        <v>6</v>
      </c>
      <c r="B8" s="13" t="s">
        <v>37</v>
      </c>
      <c r="C8" s="9" t="s">
        <v>30</v>
      </c>
      <c r="D8" s="9">
        <v>45658</v>
      </c>
      <c r="E8" s="9">
        <v>45777</v>
      </c>
      <c r="F8" s="9">
        <v>45658</v>
      </c>
      <c r="G8" s="9">
        <v>45777</v>
      </c>
    </row>
    <row r="9" spans="1:7" x14ac:dyDescent="0.4">
      <c r="A9" s="15">
        <f>IF(B9&lt;&gt;"",SUBTOTAL(3,$B$3:B9),"")</f>
        <v>7</v>
      </c>
      <c r="B9" s="13" t="s">
        <v>38</v>
      </c>
      <c r="C9" s="9" t="s">
        <v>30</v>
      </c>
      <c r="D9" s="9">
        <v>45717</v>
      </c>
      <c r="E9" s="9">
        <v>45808</v>
      </c>
      <c r="F9" s="9">
        <v>45717</v>
      </c>
      <c r="G9" s="9">
        <v>45808</v>
      </c>
    </row>
    <row r="10" spans="1:7" x14ac:dyDescent="0.4">
      <c r="A10" s="15">
        <f>IF(B10&lt;&gt;"",SUBTOTAL(3,$B$3:B10),"")</f>
        <v>8</v>
      </c>
      <c r="B10" s="12" t="s">
        <v>39</v>
      </c>
      <c r="C10" s="9" t="s">
        <v>30</v>
      </c>
      <c r="D10" s="9">
        <v>45778</v>
      </c>
      <c r="E10" s="9">
        <v>45961</v>
      </c>
      <c r="F10" s="9">
        <v>45778</v>
      </c>
      <c r="G10" s="9">
        <v>45961</v>
      </c>
    </row>
    <row r="11" spans="1:7" x14ac:dyDescent="0.4">
      <c r="A11" s="15">
        <f>IF(B11&lt;&gt;"",SUBTOTAL(3,$B$3:B11),"")</f>
        <v>9</v>
      </c>
      <c r="B11" s="12" t="s">
        <v>40</v>
      </c>
      <c r="C11" s="9" t="s">
        <v>30</v>
      </c>
      <c r="D11" s="9">
        <v>45778</v>
      </c>
      <c r="E11" s="9">
        <v>45961</v>
      </c>
      <c r="F11" s="9">
        <v>45778</v>
      </c>
      <c r="G11" s="9">
        <v>45961</v>
      </c>
    </row>
    <row r="12" spans="1:7" x14ac:dyDescent="0.4">
      <c r="A12" s="15">
        <f>IF(B12&lt;&gt;"",SUBTOTAL(3,$B$3:B12),"")</f>
        <v>10</v>
      </c>
      <c r="B12" s="12" t="s">
        <v>41</v>
      </c>
      <c r="C12" s="9" t="s">
        <v>30</v>
      </c>
      <c r="D12" s="9">
        <v>45901</v>
      </c>
      <c r="E12" s="9">
        <v>46022</v>
      </c>
      <c r="F12" s="9">
        <v>45901</v>
      </c>
      <c r="G12" s="9">
        <v>46022</v>
      </c>
    </row>
    <row r="13" spans="1:7" x14ac:dyDescent="0.4">
      <c r="A13" s="15">
        <f>IF(B13&lt;&gt;"",SUBTOTAL(3,$B$3:B13),"")</f>
        <v>11</v>
      </c>
      <c r="B13" s="12" t="s">
        <v>42</v>
      </c>
      <c r="C13" s="9" t="s">
        <v>31</v>
      </c>
      <c r="D13" s="9">
        <v>46235</v>
      </c>
      <c r="E13" s="9">
        <v>46387</v>
      </c>
      <c r="F13" s="9"/>
      <c r="G13" s="9"/>
    </row>
    <row r="14" spans="1:7" x14ac:dyDescent="0.4">
      <c r="A14" s="15">
        <f>IF(B14&lt;&gt;"",SUBTOTAL(3,$B$3:B14),"")</f>
        <v>12</v>
      </c>
      <c r="B14" s="12" t="s">
        <v>43</v>
      </c>
      <c r="C14" s="9" t="s">
        <v>31</v>
      </c>
      <c r="D14" s="9">
        <v>46235</v>
      </c>
      <c r="E14" s="9">
        <v>46387</v>
      </c>
      <c r="F14" s="9"/>
      <c r="G14" s="9"/>
    </row>
    <row r="15" spans="1:7" x14ac:dyDescent="0.4">
      <c r="A15" s="15">
        <f>IF(B15&lt;&gt;"",SUBTOTAL(3,$B$3:B15),"")</f>
        <v>13</v>
      </c>
      <c r="B15" s="12" t="s">
        <v>44</v>
      </c>
      <c r="C15" s="9" t="s">
        <v>31</v>
      </c>
      <c r="D15" s="9">
        <v>46174</v>
      </c>
      <c r="E15" s="9">
        <v>46387</v>
      </c>
      <c r="F15" s="9"/>
      <c r="G15" s="9"/>
    </row>
    <row r="16" spans="1:7" x14ac:dyDescent="0.4">
      <c r="A16" s="15">
        <f>IF(B16&lt;&gt;"",SUBTOTAL(3,$B$3:B16),"")</f>
        <v>14</v>
      </c>
      <c r="B16" s="12" t="s">
        <v>45</v>
      </c>
      <c r="C16" s="9" t="s">
        <v>31</v>
      </c>
      <c r="D16" s="9">
        <v>46023</v>
      </c>
      <c r="E16" s="9">
        <v>46112</v>
      </c>
      <c r="F16" s="9"/>
      <c r="G16" s="9"/>
    </row>
    <row r="17" spans="1:7" x14ac:dyDescent="0.4">
      <c r="A17" s="15">
        <f>IF(B17&lt;&gt;"",SUBTOTAL(3,$B$3:B17),"")</f>
        <v>15</v>
      </c>
      <c r="B17" s="14" t="s">
        <v>46</v>
      </c>
      <c r="C17" s="9" t="s">
        <v>31</v>
      </c>
      <c r="D17" s="9">
        <v>46023</v>
      </c>
      <c r="E17" s="9">
        <v>46112</v>
      </c>
      <c r="F17" s="9"/>
      <c r="G17" s="9"/>
    </row>
    <row r="18" spans="1:7" x14ac:dyDescent="0.4">
      <c r="A18" s="15">
        <f>IF(B18&lt;&gt;"",SUBTOTAL(3,$B$3:B18),"")</f>
        <v>16</v>
      </c>
      <c r="B18" s="14" t="s">
        <v>47</v>
      </c>
      <c r="C18" s="9" t="s">
        <v>31</v>
      </c>
      <c r="D18" s="9">
        <v>46082</v>
      </c>
      <c r="E18" s="9">
        <v>46203</v>
      </c>
      <c r="F18" s="9"/>
      <c r="G18" s="9"/>
    </row>
    <row r="19" spans="1:7" x14ac:dyDescent="0.4">
      <c r="A19" s="15">
        <f>IF(B19&lt;&gt;"",SUBTOTAL(3,$B$3:B19),"")</f>
        <v>17</v>
      </c>
      <c r="B19" s="14" t="s">
        <v>48</v>
      </c>
      <c r="C19" s="9" t="s">
        <v>31</v>
      </c>
      <c r="D19" s="9">
        <v>46174</v>
      </c>
      <c r="E19" s="9">
        <v>46387</v>
      </c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G18" sqref="G18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29" t="s">
        <v>8</v>
      </c>
      <c r="B1" s="29" t="s">
        <v>9</v>
      </c>
      <c r="C1" s="29" t="s">
        <v>10</v>
      </c>
      <c r="D1" s="29" t="s">
        <v>11</v>
      </c>
      <c r="E1" s="32" t="s">
        <v>17</v>
      </c>
      <c r="F1" s="33"/>
      <c r="G1" s="32" t="s">
        <v>16</v>
      </c>
      <c r="H1" s="33"/>
      <c r="I1" s="31" t="s">
        <v>13</v>
      </c>
      <c r="J1" s="31"/>
    </row>
    <row r="2" spans="1:10" x14ac:dyDescent="0.4">
      <c r="A2" s="30"/>
      <c r="B2" s="30"/>
      <c r="C2" s="30"/>
      <c r="D2" s="30"/>
      <c r="E2" s="19" t="s">
        <v>65</v>
      </c>
      <c r="F2" s="19" t="s">
        <v>66</v>
      </c>
      <c r="G2" s="19" t="s">
        <v>29</v>
      </c>
      <c r="H2" s="19" t="s">
        <v>31</v>
      </c>
      <c r="I2" s="19" t="s">
        <v>29</v>
      </c>
      <c r="J2" s="19" t="s">
        <v>31</v>
      </c>
    </row>
    <row r="3" spans="1:10" x14ac:dyDescent="0.4">
      <c r="A3" s="21" t="s">
        <v>49</v>
      </c>
      <c r="B3" s="21"/>
      <c r="C3" s="21" t="s">
        <v>63</v>
      </c>
      <c r="D3" s="21">
        <v>25</v>
      </c>
      <c r="E3" s="21">
        <v>3</v>
      </c>
      <c r="F3" s="21">
        <v>3</v>
      </c>
      <c r="G3" s="22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>8</v>
      </c>
      <c r="H3" s="22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>2</v>
      </c>
      <c r="I3" s="23" t="str">
        <f t="shared" ref="I3:I13" si="0">IF(E3="","",
   IF(ISNUMBER(E3),
      IF(N(G3)/E3&gt;=1,"달성","미달성"),
      IF(E3=G3,"달성","미달성")
   )
)</f>
        <v>달성</v>
      </c>
      <c r="J3" s="23" t="str">
        <f t="shared" ref="J3:J13" si="1">IF(F3="","",
   IF(ISNUMBER(F3),
      IF(N(H3)/F3&gt;=1,"달성","미달성"),
      IF(F3=H3,"달성","미달성")
   )
)</f>
        <v>미달성</v>
      </c>
    </row>
    <row r="4" spans="1:10" x14ac:dyDescent="0.4">
      <c r="A4" s="21" t="s">
        <v>50</v>
      </c>
      <c r="B4" s="21"/>
      <c r="C4" s="21" t="s">
        <v>63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3" t="str">
        <f t="shared" si="0"/>
        <v>미달성</v>
      </c>
      <c r="J4" s="23" t="str">
        <f t="shared" si="1"/>
        <v>미달성</v>
      </c>
    </row>
    <row r="5" spans="1:10" x14ac:dyDescent="0.4">
      <c r="A5" s="21" t="s">
        <v>51</v>
      </c>
      <c r="B5" s="21"/>
      <c r="C5" s="21" t="s">
        <v>63</v>
      </c>
      <c r="D5" s="21"/>
      <c r="E5" s="21"/>
      <c r="F5" s="21">
        <v>1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3" t="str">
        <f t="shared" si="0"/>
        <v/>
      </c>
      <c r="J5" s="23" t="str">
        <f t="shared" si="1"/>
        <v>미달성</v>
      </c>
    </row>
    <row r="6" spans="1:10" x14ac:dyDescent="0.4">
      <c r="A6" s="21" t="s">
        <v>52</v>
      </c>
      <c r="B6" s="21"/>
      <c r="C6" s="21" t="s">
        <v>63</v>
      </c>
      <c r="D6" s="21">
        <v>1</v>
      </c>
      <c r="E6" s="21">
        <v>2</v>
      </c>
      <c r="F6" s="21">
        <v>2</v>
      </c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3" t="str">
        <f t="shared" si="0"/>
        <v>미달성</v>
      </c>
      <c r="J6" s="23" t="str">
        <f t="shared" si="1"/>
        <v>미달성</v>
      </c>
    </row>
    <row r="7" spans="1:10" x14ac:dyDescent="0.4">
      <c r="A7" s="21" t="s">
        <v>53</v>
      </c>
      <c r="B7" s="21"/>
      <c r="C7" s="21" t="s">
        <v>63</v>
      </c>
      <c r="D7" s="21"/>
      <c r="E7" s="21">
        <v>1</v>
      </c>
      <c r="F7" s="21">
        <v>3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3" t="str">
        <f t="shared" si="0"/>
        <v>미달성</v>
      </c>
      <c r="J7" s="23" t="str">
        <f t="shared" si="1"/>
        <v>미달성</v>
      </c>
    </row>
    <row r="8" spans="1:10" x14ac:dyDescent="0.4">
      <c r="A8" s="21" t="s">
        <v>54</v>
      </c>
      <c r="B8" s="21"/>
      <c r="C8" s="21" t="s">
        <v>63</v>
      </c>
      <c r="D8" s="21"/>
      <c r="E8" s="21"/>
      <c r="F8" s="21"/>
      <c r="G8" s="22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>12</v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3" t="str">
        <f t="shared" si="0"/>
        <v/>
      </c>
      <c r="J8" s="23" t="str">
        <f t="shared" si="1"/>
        <v/>
      </c>
    </row>
    <row r="9" spans="1:10" x14ac:dyDescent="0.4">
      <c r="A9" s="21" t="s">
        <v>55</v>
      </c>
      <c r="B9" s="21"/>
      <c r="C9" s="21" t="s">
        <v>63</v>
      </c>
      <c r="D9" s="21"/>
      <c r="E9" s="21"/>
      <c r="F9" s="21">
        <v>4</v>
      </c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3" t="str">
        <f t="shared" si="0"/>
        <v/>
      </c>
      <c r="J9" s="23" t="str">
        <f t="shared" si="1"/>
        <v>미달성</v>
      </c>
    </row>
    <row r="10" spans="1:10" x14ac:dyDescent="0.4">
      <c r="A10" s="21" t="s">
        <v>56</v>
      </c>
      <c r="B10" s="21"/>
      <c r="C10" s="21" t="s">
        <v>63</v>
      </c>
      <c r="D10" s="21"/>
      <c r="E10" s="21"/>
      <c r="F10" s="21">
        <v>4</v>
      </c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3" t="str">
        <f t="shared" si="0"/>
        <v/>
      </c>
      <c r="J10" s="23" t="str">
        <f t="shared" si="1"/>
        <v>미달성</v>
      </c>
    </row>
    <row r="11" spans="1:10" x14ac:dyDescent="0.4">
      <c r="A11" s="21" t="s">
        <v>57</v>
      </c>
      <c r="B11" s="21"/>
      <c r="C11" s="21" t="s">
        <v>64</v>
      </c>
      <c r="D11" s="21">
        <v>15</v>
      </c>
      <c r="E11" s="21">
        <v>2</v>
      </c>
      <c r="F11" s="21">
        <v>4</v>
      </c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3" t="str">
        <f t="shared" si="0"/>
        <v>미달성</v>
      </c>
      <c r="J11" s="23" t="str">
        <f t="shared" si="1"/>
        <v>미달성</v>
      </c>
    </row>
    <row r="12" spans="1:10" x14ac:dyDescent="0.4">
      <c r="A12" s="21" t="s">
        <v>58</v>
      </c>
      <c r="B12" s="21"/>
      <c r="C12" s="21" t="s">
        <v>64</v>
      </c>
      <c r="D12" s="21"/>
      <c r="E12" s="21">
        <v>1</v>
      </c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3" t="str">
        <f t="shared" si="0"/>
        <v>미달성</v>
      </c>
      <c r="J12" s="23" t="str">
        <f t="shared" si="1"/>
        <v/>
      </c>
    </row>
    <row r="13" spans="1:10" x14ac:dyDescent="0.4">
      <c r="A13" s="21" t="s">
        <v>59</v>
      </c>
      <c r="B13" s="21"/>
      <c r="C13" s="21" t="s">
        <v>64</v>
      </c>
      <c r="D13" s="21"/>
      <c r="E13" s="21">
        <v>2</v>
      </c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3" t="str">
        <f t="shared" si="0"/>
        <v>미달성</v>
      </c>
      <c r="J13" s="23" t="str">
        <f t="shared" si="1"/>
        <v/>
      </c>
    </row>
    <row r="14" spans="1:10" x14ac:dyDescent="0.4">
      <c r="A14" s="21" t="s">
        <v>60</v>
      </c>
      <c r="B14" s="21"/>
      <c r="C14" s="21" t="s">
        <v>64</v>
      </c>
      <c r="D14" s="21"/>
      <c r="E14" s="21">
        <v>8</v>
      </c>
      <c r="F14" s="21">
        <v>1</v>
      </c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3"/>
      <c r="J14" s="23"/>
    </row>
    <row r="15" spans="1:10" x14ac:dyDescent="0.4">
      <c r="A15" s="21" t="s">
        <v>61</v>
      </c>
      <c r="B15" s="21"/>
      <c r="C15" s="21" t="s">
        <v>64</v>
      </c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3"/>
      <c r="J15" s="23"/>
    </row>
    <row r="16" spans="1:10" x14ac:dyDescent="0.4">
      <c r="A16" s="21" t="s">
        <v>62</v>
      </c>
      <c r="B16" s="21"/>
      <c r="C16" s="21" t="s">
        <v>64</v>
      </c>
      <c r="D16" s="21"/>
      <c r="E16" s="21">
        <v>1</v>
      </c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3"/>
      <c r="J16" s="23"/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3"/>
      <c r="J17" s="23"/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3"/>
      <c r="J18" s="23"/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3"/>
      <c r="J19" s="23"/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3"/>
      <c r="J20" s="23"/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3" t="str">
        <f>IF(E21="","",
   IF(ISNUMBER(E21),
      IF(N(G21)/E21&gt;=1,"달성","미달성"),
      IF(E21=G21,"달성","미달성")
   )
)</f>
        <v/>
      </c>
      <c r="J21" s="23" t="str">
        <f>IF(F21="","",
   IF(ISNUMBER(F21),
      IF(N(H21)/F21&gt;=1,"달성","미달성"),
      IF(F21=H21,"달성","미달성")
   )
)</f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3" t="str">
        <f>IF(E22="","",
   IF(ISNUMBER(E22),
      IF(N(G22)/E22&gt;=1,"달성","미달성"),
      IF(E22=G22,"달성","미달성")
   )
)</f>
        <v/>
      </c>
      <c r="J22" s="23" t="str">
        <f>IF(F22="","",
   IF(ISNUMBER(F22),
      IF(N(H22)/F22&gt;=1,"달성","미달성"),
      IF(F22=H22,"달성","미달성")
   )
)</f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3"/>
      <c r="J23" s="23"/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3"/>
      <c r="J24" s="23"/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3"/>
      <c r="J25" s="23"/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3"/>
      <c r="J26" s="23"/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3" t="str">
        <f t="shared" ref="I27:J31" si="2">IF(E27="","",
   IF(ISNUMBER(E27),
      IF(N(G27)/E27&gt;=1,"달성","미달성"),
      IF(E27=G27,"달성","미달성")
   )
)</f>
        <v/>
      </c>
      <c r="J27" s="23" t="str">
        <f t="shared" si="2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3" t="str">
        <f t="shared" si="2"/>
        <v/>
      </c>
      <c r="J28" s="23" t="str">
        <f t="shared" si="2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3" t="str">
        <f t="shared" si="2"/>
        <v/>
      </c>
      <c r="J29" s="23" t="str">
        <f t="shared" si="2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3" t="str">
        <f t="shared" si="2"/>
        <v/>
      </c>
      <c r="J30" s="23" t="str">
        <f t="shared" si="2"/>
        <v/>
      </c>
    </row>
    <row r="31" spans="1:10" x14ac:dyDescent="0.4">
      <c r="A31" s="21" t="s">
        <v>14</v>
      </c>
      <c r="B31" s="21"/>
      <c r="C31" s="21"/>
      <c r="D31" s="21">
        <f>SUM(D3:D30)</f>
        <v>56</v>
      </c>
      <c r="E31" s="21"/>
      <c r="F31" s="21"/>
      <c r="G31" s="22"/>
      <c r="H31" s="22"/>
      <c r="I31" s="23" t="str">
        <f t="shared" si="2"/>
        <v/>
      </c>
      <c r="J31" s="23" t="str">
        <f t="shared" si="2"/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I3:J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E50"/>
  <sheetViews>
    <sheetView topLeftCell="A2" workbookViewId="0">
      <selection sqref="A1:XFD1048576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5" x14ac:dyDescent="0.4">
      <c r="A1" s="16" t="s">
        <v>80</v>
      </c>
      <c r="B1" s="16" t="s">
        <v>15</v>
      </c>
      <c r="C1" s="16" t="s">
        <v>16</v>
      </c>
      <c r="D1" s="16" t="s">
        <v>12</v>
      </c>
    </row>
    <row r="2" spans="1:5" ht="21.6" x14ac:dyDescent="0.4">
      <c r="A2" s="18" t="s">
        <v>49</v>
      </c>
      <c r="B2" s="18" t="s">
        <v>29</v>
      </c>
      <c r="C2" s="18">
        <v>1</v>
      </c>
      <c r="D2" s="18" t="s">
        <v>67</v>
      </c>
      <c r="E2" s="17" t="s">
        <v>68</v>
      </c>
    </row>
    <row r="3" spans="1:5" ht="21.6" x14ac:dyDescent="0.4">
      <c r="A3" s="18" t="s">
        <v>49</v>
      </c>
      <c r="B3" s="18" t="s">
        <v>29</v>
      </c>
      <c r="C3" s="18">
        <v>1</v>
      </c>
      <c r="D3" s="18" t="s">
        <v>69</v>
      </c>
      <c r="E3" s="17" t="s">
        <v>70</v>
      </c>
    </row>
    <row r="4" spans="1:5" ht="21.6" x14ac:dyDescent="0.4">
      <c r="A4" s="18" t="s">
        <v>49</v>
      </c>
      <c r="B4" s="18" t="s">
        <v>29</v>
      </c>
      <c r="C4" s="18">
        <v>1</v>
      </c>
      <c r="D4" s="18" t="s">
        <v>69</v>
      </c>
      <c r="E4" s="17" t="s">
        <v>71</v>
      </c>
    </row>
    <row r="5" spans="1:5" ht="21.6" x14ac:dyDescent="0.4">
      <c r="A5" s="18" t="s">
        <v>49</v>
      </c>
      <c r="B5" s="18" t="s">
        <v>29</v>
      </c>
      <c r="C5" s="18">
        <v>1</v>
      </c>
      <c r="D5" s="18" t="s">
        <v>67</v>
      </c>
      <c r="E5" s="17" t="s">
        <v>72</v>
      </c>
    </row>
    <row r="6" spans="1:5" ht="21.6" x14ac:dyDescent="0.4">
      <c r="A6" s="18" t="s">
        <v>49</v>
      </c>
      <c r="B6" s="18" t="s">
        <v>29</v>
      </c>
      <c r="C6" s="18">
        <v>1</v>
      </c>
      <c r="D6" s="18" t="s">
        <v>67</v>
      </c>
      <c r="E6" s="17" t="s">
        <v>73</v>
      </c>
    </row>
    <row r="7" spans="1:5" ht="21.6" x14ac:dyDescent="0.4">
      <c r="A7" s="18" t="s">
        <v>49</v>
      </c>
      <c r="B7" s="18" t="s">
        <v>29</v>
      </c>
      <c r="C7" s="18">
        <v>1</v>
      </c>
      <c r="D7" s="18" t="s">
        <v>67</v>
      </c>
      <c r="E7" s="17" t="s">
        <v>74</v>
      </c>
    </row>
    <row r="8" spans="1:5" ht="21.6" x14ac:dyDescent="0.4">
      <c r="A8" s="18" t="s">
        <v>49</v>
      </c>
      <c r="B8" s="18" t="s">
        <v>29</v>
      </c>
      <c r="C8" s="18">
        <v>1</v>
      </c>
      <c r="D8" s="18" t="s">
        <v>67</v>
      </c>
      <c r="E8" s="17" t="s">
        <v>75</v>
      </c>
    </row>
    <row r="9" spans="1:5" ht="21.6" x14ac:dyDescent="0.4">
      <c r="A9" s="18" t="s">
        <v>49</v>
      </c>
      <c r="B9" s="18" t="s">
        <v>29</v>
      </c>
      <c r="C9" s="18">
        <v>1</v>
      </c>
      <c r="D9" s="18" t="s">
        <v>76</v>
      </c>
      <c r="E9" s="17" t="s">
        <v>77</v>
      </c>
    </row>
    <row r="10" spans="1:5" ht="21.6" x14ac:dyDescent="0.4">
      <c r="A10" s="18" t="s">
        <v>49</v>
      </c>
      <c r="B10" s="18" t="s">
        <v>31</v>
      </c>
      <c r="C10" s="18">
        <v>1</v>
      </c>
      <c r="D10" s="18" t="s">
        <v>69</v>
      </c>
      <c r="E10" s="17" t="s">
        <v>78</v>
      </c>
    </row>
    <row r="11" spans="1:5" ht="21.6" x14ac:dyDescent="0.4">
      <c r="A11" s="18" t="s">
        <v>49</v>
      </c>
      <c r="B11" s="18" t="s">
        <v>31</v>
      </c>
      <c r="C11" s="18">
        <v>1</v>
      </c>
      <c r="D11" s="18" t="s">
        <v>67</v>
      </c>
      <c r="E11" s="17" t="s">
        <v>68</v>
      </c>
    </row>
    <row r="12" spans="1:5" ht="21.6" x14ac:dyDescent="0.4">
      <c r="A12" s="18" t="s">
        <v>54</v>
      </c>
      <c r="B12" s="18" t="s">
        <v>29</v>
      </c>
      <c r="C12" s="18">
        <v>1</v>
      </c>
      <c r="D12" s="18" t="s">
        <v>76</v>
      </c>
      <c r="E12" s="17" t="s">
        <v>79</v>
      </c>
    </row>
    <row r="13" spans="1:5" ht="21.6" x14ac:dyDescent="0.4">
      <c r="A13" s="18" t="s">
        <v>54</v>
      </c>
      <c r="B13" s="18" t="s">
        <v>29</v>
      </c>
      <c r="C13" s="18">
        <v>1</v>
      </c>
      <c r="D13" s="18" t="s">
        <v>76</v>
      </c>
      <c r="E13" s="17" t="s">
        <v>79</v>
      </c>
    </row>
    <row r="14" spans="1:5" ht="21.6" x14ac:dyDescent="0.4">
      <c r="A14" s="18" t="s">
        <v>54</v>
      </c>
      <c r="B14" s="18" t="s">
        <v>29</v>
      </c>
      <c r="C14" s="18">
        <v>1</v>
      </c>
      <c r="D14" s="18" t="s">
        <v>76</v>
      </c>
      <c r="E14" s="17" t="s">
        <v>79</v>
      </c>
    </row>
    <row r="15" spans="1:5" ht="21.6" x14ac:dyDescent="0.4">
      <c r="A15" s="18" t="s">
        <v>54</v>
      </c>
      <c r="B15" s="18" t="s">
        <v>29</v>
      </c>
      <c r="C15" s="18">
        <v>1</v>
      </c>
      <c r="D15" s="18" t="s">
        <v>76</v>
      </c>
      <c r="E15" s="17" t="s">
        <v>79</v>
      </c>
    </row>
    <row r="16" spans="1:5" ht="21.6" x14ac:dyDescent="0.4">
      <c r="A16" s="18" t="s">
        <v>54</v>
      </c>
      <c r="B16" s="18" t="s">
        <v>29</v>
      </c>
      <c r="C16" s="18">
        <v>1</v>
      </c>
      <c r="D16" s="18" t="s">
        <v>76</v>
      </c>
      <c r="E16" s="17" t="s">
        <v>79</v>
      </c>
    </row>
    <row r="17" spans="1:5" ht="21.6" x14ac:dyDescent="0.4">
      <c r="A17" s="18" t="s">
        <v>54</v>
      </c>
      <c r="B17" s="18" t="s">
        <v>29</v>
      </c>
      <c r="C17" s="18">
        <v>1</v>
      </c>
      <c r="D17" s="18" t="s">
        <v>76</v>
      </c>
      <c r="E17" s="17" t="s">
        <v>79</v>
      </c>
    </row>
    <row r="18" spans="1:5" ht="21.6" x14ac:dyDescent="0.4">
      <c r="A18" s="18" t="s">
        <v>54</v>
      </c>
      <c r="B18" s="18" t="s">
        <v>29</v>
      </c>
      <c r="C18" s="18">
        <v>1</v>
      </c>
      <c r="D18" s="18" t="s">
        <v>76</v>
      </c>
      <c r="E18" s="17" t="s">
        <v>79</v>
      </c>
    </row>
    <row r="19" spans="1:5" ht="21.6" x14ac:dyDescent="0.4">
      <c r="A19" s="18" t="s">
        <v>54</v>
      </c>
      <c r="B19" s="18" t="s">
        <v>29</v>
      </c>
      <c r="C19" s="18">
        <v>1</v>
      </c>
      <c r="D19" s="18" t="s">
        <v>76</v>
      </c>
      <c r="E19" s="17" t="s">
        <v>79</v>
      </c>
    </row>
    <row r="20" spans="1:5" ht="21.6" x14ac:dyDescent="0.4">
      <c r="A20" s="18" t="s">
        <v>54</v>
      </c>
      <c r="B20" s="18" t="s">
        <v>29</v>
      </c>
      <c r="C20" s="18">
        <v>1</v>
      </c>
      <c r="D20" s="18" t="s">
        <v>76</v>
      </c>
      <c r="E20" s="17" t="s">
        <v>79</v>
      </c>
    </row>
    <row r="21" spans="1:5" ht="21.6" x14ac:dyDescent="0.4">
      <c r="A21" s="18" t="s">
        <v>54</v>
      </c>
      <c r="B21" s="18" t="s">
        <v>29</v>
      </c>
      <c r="C21" s="18">
        <v>1</v>
      </c>
      <c r="D21" s="18" t="s">
        <v>76</v>
      </c>
      <c r="E21" s="17" t="s">
        <v>79</v>
      </c>
    </row>
    <row r="22" spans="1:5" ht="21.6" x14ac:dyDescent="0.4">
      <c r="A22" s="18" t="s">
        <v>54</v>
      </c>
      <c r="B22" s="18" t="s">
        <v>29</v>
      </c>
      <c r="C22" s="18">
        <v>1</v>
      </c>
      <c r="D22" s="18" t="s">
        <v>76</v>
      </c>
      <c r="E22" s="17" t="s">
        <v>79</v>
      </c>
    </row>
    <row r="23" spans="1:5" ht="21.6" x14ac:dyDescent="0.4">
      <c r="A23" s="18" t="s">
        <v>54</v>
      </c>
      <c r="B23" s="18" t="s">
        <v>29</v>
      </c>
      <c r="C23" s="18">
        <v>1</v>
      </c>
      <c r="D23" s="18" t="s">
        <v>76</v>
      </c>
      <c r="E23" s="17" t="s">
        <v>79</v>
      </c>
    </row>
    <row r="24" spans="1:5" x14ac:dyDescent="0.4">
      <c r="A24" s="18"/>
      <c r="B24" s="18"/>
      <c r="C24" s="18"/>
      <c r="D24" s="18"/>
    </row>
    <row r="25" spans="1:5" x14ac:dyDescent="0.4">
      <c r="A25" s="18"/>
      <c r="B25" s="18"/>
      <c r="C25" s="18"/>
      <c r="D25" s="18"/>
    </row>
    <row r="26" spans="1:5" x14ac:dyDescent="0.4">
      <c r="A26" s="18"/>
      <c r="B26" s="18"/>
      <c r="C26" s="18"/>
      <c r="D26" s="18"/>
    </row>
    <row r="27" spans="1:5" x14ac:dyDescent="0.4">
      <c r="A27" s="18"/>
      <c r="B27" s="18"/>
      <c r="C27" s="18"/>
      <c r="D27" s="18"/>
    </row>
    <row r="28" spans="1:5" x14ac:dyDescent="0.4">
      <c r="A28" s="18"/>
      <c r="B28" s="18"/>
      <c r="C28" s="18"/>
      <c r="D28" s="18"/>
    </row>
    <row r="29" spans="1:5" x14ac:dyDescent="0.4">
      <c r="A29" s="18"/>
      <c r="B29" s="18"/>
      <c r="C29" s="18"/>
      <c r="D29" s="18"/>
    </row>
    <row r="30" spans="1:5" x14ac:dyDescent="0.4">
      <c r="A30" s="18"/>
      <c r="B30" s="18"/>
      <c r="C30" s="18"/>
      <c r="D30" s="18"/>
    </row>
    <row r="31" spans="1:5" x14ac:dyDescent="0.4">
      <c r="A31" s="18"/>
      <c r="B31" s="18"/>
      <c r="C31" s="18"/>
      <c r="D31" s="18"/>
    </row>
    <row r="32" spans="1:5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5F22B-D08B-480D-816B-F5EE33EF2038}">
  <dimension ref="A1:C3"/>
  <sheetViews>
    <sheetView tabSelected="1" workbookViewId="0">
      <selection activeCell="B4" sqref="B4"/>
    </sheetView>
  </sheetViews>
  <sheetFormatPr defaultRowHeight="17.399999999999999" x14ac:dyDescent="0.4"/>
  <cols>
    <col min="1" max="1" width="11.09765625" bestFit="1" customWidth="1"/>
  </cols>
  <sheetData>
    <row r="1" spans="1:3" x14ac:dyDescent="0.4">
      <c r="A1" t="s">
        <v>128</v>
      </c>
      <c r="B1" t="s">
        <v>129</v>
      </c>
      <c r="C1" t="s">
        <v>130</v>
      </c>
    </row>
    <row r="2" spans="1:3" x14ac:dyDescent="0.4">
      <c r="A2" s="24">
        <v>46205</v>
      </c>
      <c r="B2" t="s">
        <v>131</v>
      </c>
      <c r="C2" t="s">
        <v>132</v>
      </c>
    </row>
    <row r="3" spans="1:3" x14ac:dyDescent="0.4">
      <c r="A3" s="24">
        <v>46205</v>
      </c>
      <c r="B3" t="s">
        <v>133</v>
      </c>
      <c r="C3" t="s">
        <v>134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마일스톤</vt:lpstr>
      <vt:lpstr>정량지표</vt:lpstr>
      <vt:lpstr>정량지표상세</vt:lpstr>
      <vt:lpstr>진행상황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2026-07-02T04:26:18Z</dcterms:modified>
  <cp:category/>
  <cp:contentStatus/>
</cp:coreProperties>
</file>