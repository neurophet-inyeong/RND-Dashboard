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opilot\RND-Dashboard\projects\"/>
    </mc:Choice>
  </mc:AlternateContent>
  <xr:revisionPtr revIDLastSave="0" documentId="13_ncr:1_{AEFD27A1-6386-4902-B7F0-702BA76E841F}" xr6:coauthVersionLast="47" xr6:coauthVersionMax="47" xr10:uidLastSave="{00000000-0000-0000-0000-000000000000}"/>
  <bookViews>
    <workbookView xWindow="28680" yWindow="-120" windowWidth="29040" windowHeight="15720" xr2:uid="{B8D78CEB-D3AC-4A62-AA68-81CAD437EBFB}"/>
  </bookViews>
  <sheets>
    <sheet name="개요" sheetId="1" r:id="rId1"/>
    <sheet name="마일스톤" sheetId="4" r:id="rId2"/>
    <sheet name="정량지표" sheetId="5" r:id="rId3"/>
    <sheet name="정량지표상세" sheetId="6" r:id="rId4"/>
  </sheets>
  <definedNames>
    <definedName name="_xlnm._FilterDatabase" localSheetId="0" hidden="1">개요!#REF!</definedName>
    <definedName name="ExternalData_1" localSheetId="0" hidden="1">개요!$A$1:$B$15</definedName>
    <definedName name="ExternalData_2" localSheetId="0" hidden="1">개요!$A$17:$O$24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" i="5" l="1"/>
  <c r="L4" i="5"/>
  <c r="M4" i="5"/>
  <c r="K5" i="5"/>
  <c r="L5" i="5"/>
  <c r="M5" i="5"/>
  <c r="K6" i="5"/>
  <c r="L6" i="5"/>
  <c r="M6" i="5"/>
  <c r="K7" i="5"/>
  <c r="L7" i="5"/>
  <c r="M7" i="5"/>
  <c r="K8" i="5"/>
  <c r="L8" i="5"/>
  <c r="M8" i="5"/>
  <c r="K9" i="5"/>
  <c r="L9" i="5"/>
  <c r="M9" i="5"/>
  <c r="K10" i="5"/>
  <c r="L10" i="5"/>
  <c r="M10" i="5"/>
  <c r="K11" i="5"/>
  <c r="L11" i="5"/>
  <c r="M11" i="5"/>
  <c r="K12" i="5"/>
  <c r="L12" i="5"/>
  <c r="M12" i="5"/>
  <c r="K13" i="5"/>
  <c r="L13" i="5"/>
  <c r="M13" i="5"/>
  <c r="K14" i="5"/>
  <c r="L14" i="5"/>
  <c r="M14" i="5"/>
  <c r="K15" i="5"/>
  <c r="L15" i="5"/>
  <c r="M15" i="5"/>
  <c r="K16" i="5"/>
  <c r="L16" i="5"/>
  <c r="M16" i="5"/>
  <c r="K17" i="5"/>
  <c r="L17" i="5"/>
  <c r="M17" i="5"/>
  <c r="K18" i="5"/>
  <c r="L18" i="5"/>
  <c r="M18" i="5"/>
  <c r="K19" i="5"/>
  <c r="L19" i="5"/>
  <c r="M19" i="5"/>
  <c r="K20" i="5"/>
  <c r="L20" i="5"/>
  <c r="M20" i="5"/>
  <c r="K21" i="5"/>
  <c r="L21" i="5"/>
  <c r="M21" i="5"/>
  <c r="K22" i="5"/>
  <c r="L22" i="5"/>
  <c r="M22" i="5"/>
  <c r="K23" i="5"/>
  <c r="L23" i="5"/>
  <c r="M23" i="5"/>
  <c r="K24" i="5"/>
  <c r="L24" i="5"/>
  <c r="M24" i="5"/>
  <c r="K25" i="5"/>
  <c r="L25" i="5"/>
  <c r="M25" i="5"/>
  <c r="K26" i="5"/>
  <c r="L26" i="5"/>
  <c r="M26" i="5"/>
  <c r="K27" i="5"/>
  <c r="L27" i="5"/>
  <c r="M27" i="5"/>
  <c r="K28" i="5"/>
  <c r="L28" i="5"/>
  <c r="M28" i="5"/>
  <c r="K29" i="5"/>
  <c r="L29" i="5"/>
  <c r="M29" i="5"/>
  <c r="K30" i="5"/>
  <c r="L30" i="5"/>
  <c r="M30" i="5"/>
  <c r="L3" i="5"/>
  <c r="M3" i="5"/>
  <c r="H27" i="5" a="1"/>
  <c r="H27" i="5" s="1"/>
  <c r="I27" i="5" a="1"/>
  <c r="I27" i="5" s="1"/>
  <c r="J27" i="5" a="1"/>
  <c r="J27" i="5" s="1"/>
  <c r="H28" i="5" a="1"/>
  <c r="H28" i="5" s="1"/>
  <c r="I28" i="5" a="1"/>
  <c r="I28" i="5" s="1"/>
  <c r="J28" i="5" a="1"/>
  <c r="J28" i="5" s="1"/>
  <c r="H29" i="5" a="1"/>
  <c r="H29" i="5" s="1"/>
  <c r="I29" i="5" a="1"/>
  <c r="I29" i="5" s="1"/>
  <c r="J29" i="5" a="1"/>
  <c r="J29" i="5" s="1"/>
  <c r="H30" i="5" a="1"/>
  <c r="H30" i="5" s="1"/>
  <c r="I30" i="5" a="1"/>
  <c r="I30" i="5" s="1"/>
  <c r="J30" i="5" a="1"/>
  <c r="J30" i="5" s="1"/>
  <c r="H4" i="5" a="1"/>
  <c r="H4" i="5" s="1"/>
  <c r="I4" i="5" a="1"/>
  <c r="I4" i="5" s="1"/>
  <c r="J4" i="5" a="1"/>
  <c r="J4" i="5" s="1"/>
  <c r="H5" i="5" a="1"/>
  <c r="H5" i="5" s="1"/>
  <c r="I5" i="5" a="1"/>
  <c r="I5" i="5" s="1"/>
  <c r="J5" i="5" a="1"/>
  <c r="J5" i="5" s="1"/>
  <c r="H6" i="5" a="1"/>
  <c r="H6" i="5" s="1"/>
  <c r="I6" i="5" a="1"/>
  <c r="I6" i="5" s="1"/>
  <c r="J6" i="5" a="1"/>
  <c r="J6" i="5" s="1"/>
  <c r="H7" i="5" a="1"/>
  <c r="H7" i="5" s="1"/>
  <c r="I7" i="5" a="1"/>
  <c r="I7" i="5" s="1"/>
  <c r="J7" i="5" a="1"/>
  <c r="J7" i="5" s="1"/>
  <c r="H8" i="5" a="1"/>
  <c r="H8" i="5" s="1"/>
  <c r="I8" i="5" a="1"/>
  <c r="I8" i="5" s="1"/>
  <c r="J8" i="5" a="1"/>
  <c r="J8" i="5" s="1"/>
  <c r="H9" i="5" a="1"/>
  <c r="H9" i="5" s="1"/>
  <c r="I9" i="5" a="1"/>
  <c r="I9" i="5" s="1"/>
  <c r="J9" i="5" a="1"/>
  <c r="J9" i="5" s="1"/>
  <c r="H10" i="5" a="1"/>
  <c r="H10" i="5" s="1"/>
  <c r="I10" i="5" a="1"/>
  <c r="I10" i="5" s="1"/>
  <c r="J10" i="5" a="1"/>
  <c r="J10" i="5" s="1"/>
  <c r="H11" i="5" a="1"/>
  <c r="H11" i="5" s="1"/>
  <c r="I11" i="5" a="1"/>
  <c r="I11" i="5" s="1"/>
  <c r="J11" i="5" a="1"/>
  <c r="J11" i="5" s="1"/>
  <c r="H12" i="5" a="1"/>
  <c r="H12" i="5" s="1"/>
  <c r="I12" i="5" a="1"/>
  <c r="I12" i="5" s="1"/>
  <c r="J12" i="5" a="1"/>
  <c r="J12" i="5" s="1"/>
  <c r="H13" i="5" a="1"/>
  <c r="H13" i="5" s="1"/>
  <c r="I13" i="5" a="1"/>
  <c r="I13" i="5" s="1"/>
  <c r="J13" i="5" a="1"/>
  <c r="J13" i="5" s="1"/>
  <c r="H14" i="5" a="1"/>
  <c r="H14" i="5" s="1"/>
  <c r="I14" i="5" a="1"/>
  <c r="I14" i="5" s="1"/>
  <c r="J14" i="5" a="1"/>
  <c r="J14" i="5" s="1"/>
  <c r="H15" i="5" a="1"/>
  <c r="H15" i="5" s="1"/>
  <c r="I15" i="5" a="1"/>
  <c r="I15" i="5" s="1"/>
  <c r="J15" i="5" a="1"/>
  <c r="J15" i="5" s="1"/>
  <c r="H16" i="5" a="1"/>
  <c r="H16" i="5" s="1"/>
  <c r="I16" i="5" a="1"/>
  <c r="I16" i="5" s="1"/>
  <c r="J16" i="5" a="1"/>
  <c r="J16" i="5" s="1"/>
  <c r="H17" i="5" a="1"/>
  <c r="H17" i="5" s="1"/>
  <c r="I17" i="5" a="1"/>
  <c r="I17" i="5" s="1"/>
  <c r="J17" i="5" a="1"/>
  <c r="J17" i="5" s="1"/>
  <c r="H18" i="5" a="1"/>
  <c r="H18" i="5" s="1"/>
  <c r="I18" i="5" a="1"/>
  <c r="I18" i="5" s="1"/>
  <c r="J18" i="5" a="1"/>
  <c r="J18" i="5" s="1"/>
  <c r="H19" i="5" a="1"/>
  <c r="H19" i="5" s="1"/>
  <c r="I19" i="5" a="1"/>
  <c r="I19" i="5" s="1"/>
  <c r="J19" i="5" a="1"/>
  <c r="J19" i="5" s="1"/>
  <c r="H20" i="5" a="1"/>
  <c r="H20" i="5" s="1"/>
  <c r="I20" i="5" a="1"/>
  <c r="I20" i="5" s="1"/>
  <c r="J20" i="5" a="1"/>
  <c r="J20" i="5"/>
  <c r="H21" i="5" a="1"/>
  <c r="H21" i="5" s="1"/>
  <c r="I21" i="5" a="1"/>
  <c r="I21" i="5" s="1"/>
  <c r="J21" i="5" a="1"/>
  <c r="J21" i="5" s="1"/>
  <c r="H22" i="5" a="1"/>
  <c r="H22" i="5"/>
  <c r="I22" i="5" a="1"/>
  <c r="I22" i="5" s="1"/>
  <c r="J22" i="5" a="1"/>
  <c r="J22" i="5" s="1"/>
  <c r="H23" i="5" a="1"/>
  <c r="H23" i="5" s="1"/>
  <c r="I23" i="5" a="1"/>
  <c r="I23" i="5" s="1"/>
  <c r="J23" i="5" a="1"/>
  <c r="J23" i="5" s="1"/>
  <c r="H24" i="5" a="1"/>
  <c r="H24" i="5" s="1"/>
  <c r="I24" i="5" a="1"/>
  <c r="I24" i="5" s="1"/>
  <c r="J24" i="5" a="1"/>
  <c r="J24" i="5" s="1"/>
  <c r="H25" i="5" a="1"/>
  <c r="H25" i="5" s="1"/>
  <c r="I25" i="5" a="1"/>
  <c r="I25" i="5" s="1"/>
  <c r="J25" i="5" a="1"/>
  <c r="J25" i="5" s="1"/>
  <c r="H26" i="5" a="1"/>
  <c r="H26" i="5" s="1"/>
  <c r="I26" i="5" a="1"/>
  <c r="I26" i="5" s="1"/>
  <c r="J26" i="5" a="1"/>
  <c r="J26" i="5" s="1"/>
  <c r="I3" i="5" a="1"/>
  <c r="I3" i="5" s="1"/>
  <c r="J3" i="5" a="1"/>
  <c r="J3" i="5" s="1"/>
  <c r="H3" i="5" a="1"/>
  <c r="H3" i="5" s="1"/>
  <c r="G2" i="1" l="1" a="1"/>
  <c r="G2" i="1" s="1"/>
  <c r="A20" i="4" l="1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M31" i="5" l="1"/>
  <c r="K31" i="5"/>
  <c r="D31" i="5"/>
  <c r="K3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33A5CB2-DE29-484C-902C-8BF58AA2DF7B}" keepAlive="1" interval="60" name="쿼리 - 쿼리1" description="통합 문서의 '쿼리1' 쿼리에 대한 연결입니다." type="5" refreshedVersion="8" background="1" refreshOnLoad="1" saveData="1">
    <dbPr connection="Provider=Microsoft.Mashup.OleDb.1;Data Source=$Workbook$;Location=쿼리1;Extended Properties=&quot;&quot;" command="SELECT * FROM [쿼리1]"/>
  </connection>
  <connection id="2" xr16:uid="{85E02D02-982A-467C-AA25-F51ACF50CDAC}" keepAlive="1" interval="60" name="쿼리 - 쿼리2" description="통합 문서의 '쿼리2' 쿼리에 대한 연결입니다." type="5" refreshedVersion="8" background="1" refreshOnLoad="1" saveData="1">
    <dbPr connection="Provider=Microsoft.Mashup.OleDb.1;Data Source=$Workbook$;Location=쿼리2;Extended Properties=&quot;&quot;" command="SELECT * FROM [쿼리2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<sst xmlns="http://schemas.openxmlformats.org/spreadsheetml/2006/main" count="173" uniqueCount="114">
  <si>
    <t>시작일</t>
    <phoneticPr fontId="2" type="noConversion"/>
  </si>
  <si>
    <t>종료일</t>
    <phoneticPr fontId="2" type="noConversion"/>
  </si>
  <si>
    <t>기술료</t>
  </si>
  <si>
    <t>계획</t>
    <phoneticPr fontId="2" type="noConversion"/>
  </si>
  <si>
    <t>실행</t>
    <phoneticPr fontId="2" type="noConversion"/>
  </si>
  <si>
    <t>일련번호</t>
    <phoneticPr fontId="2" type="noConversion"/>
  </si>
  <si>
    <t>개발내용</t>
    <phoneticPr fontId="2" type="noConversion"/>
  </si>
  <si>
    <t>연차</t>
    <phoneticPr fontId="2" type="noConversion"/>
  </si>
  <si>
    <t>정량지표 명(주요성능 spec 등)</t>
    <phoneticPr fontId="6" type="noConversion"/>
  </si>
  <si>
    <t>확인지표</t>
    <phoneticPr fontId="6" type="noConversion"/>
  </si>
  <si>
    <t>지표단위</t>
    <phoneticPr fontId="6" type="noConversion"/>
  </si>
  <si>
    <t>가중치</t>
    <phoneticPr fontId="6" type="noConversion"/>
  </si>
  <si>
    <t>기관명</t>
    <phoneticPr fontId="2" type="noConversion"/>
  </si>
  <si>
    <t>연차별 연구개발 달성률</t>
    <phoneticPr fontId="6" type="noConversion"/>
  </si>
  <si>
    <t>합계</t>
  </si>
  <si>
    <t>단계-연차</t>
    <phoneticPr fontId="6" type="noConversion"/>
  </si>
  <si>
    <t>달성</t>
    <phoneticPr fontId="6" type="noConversion"/>
  </si>
  <si>
    <t>목표</t>
    <phoneticPr fontId="2" type="noConversion"/>
  </si>
  <si>
    <t>R&amp;D</t>
  </si>
  <si>
    <t>주관(김동현)</t>
  </si>
  <si>
    <t>명</t>
  </si>
  <si>
    <t>뉴로핏 주식회사</t>
  </si>
  <si>
    <t>정량지표 명</t>
    <phoneticPr fontId="6" type="noConversion"/>
  </si>
  <si>
    <t>Column1</t>
  </si>
  <si>
    <t>Column2</t>
  </si>
  <si>
    <t>유형</t>
  </si>
  <si>
    <t>부처</t>
  </si>
  <si>
    <t>전문기관</t>
  </si>
  <si>
    <t>사업명</t>
  </si>
  <si>
    <t>과제명</t>
  </si>
  <si>
    <t>과제번호</t>
  </si>
  <si>
    <t>주관/공동(책임자)</t>
  </si>
  <si>
    <t>총 수행기간</t>
  </si>
  <si>
    <t>당해기간</t>
  </si>
  <si>
    <t>당해기간(개월)</t>
  </si>
  <si>
    <t>시스템</t>
  </si>
  <si>
    <t>사사문구</t>
  </si>
  <si>
    <t>공고일</t>
  </si>
  <si>
    <t>비   고</t>
  </si>
  <si>
    <t>열1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</si>
  <si>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</si>
  <si>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</si>
  <si>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</si>
  <si>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</si>
  <si>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</si>
  <si>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</si>
  <si>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</si>
  <si>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</si>
  <si>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</si>
  <si>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</si>
  <si>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</si>
  <si>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</si>
  <si>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</si>
  <si>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단계-연차</t>
  </si>
  <si>
    <t>시작일</t>
  </si>
  <si>
    <t>종료일</t>
  </si>
  <si>
    <t>개월 수</t>
  </si>
  <si>
    <t>계속비
(현금)</t>
  </si>
  <si>
    <t>정부지원금
(현금)</t>
  </si>
  <si>
    <t>지방비
(현금)</t>
  </si>
  <si>
    <t>민간부담금
(현금)</t>
  </si>
  <si>
    <t>민간부담금
(현물)</t>
  </si>
  <si>
    <t>총 민간부담금</t>
  </si>
  <si>
    <t>총 현금</t>
  </si>
  <si>
    <t>총 현물</t>
  </si>
  <si>
    <t>총 사업비</t>
  </si>
  <si>
    <t>타기관</t>
  </si>
  <si>
    <t>총합</t>
  </si>
  <si>
    <t>0단계 1연차</t>
  </si>
  <si>
    <t>0단계 2연차</t>
  </si>
  <si>
    <t>0단계 3연차</t>
  </si>
  <si>
    <t/>
  </si>
  <si>
    <t>중소벤처기업부</t>
  </si>
  <si>
    <t>한국산업기술진흥원</t>
  </si>
  <si>
    <t>(강원)글로벌혁신특구혁신사업육성(R&amp;D)</t>
  </si>
  <si>
    <t>해외 진출을 위한 ARIA 분석 기술의 개발 및 실증</t>
  </si>
  <si>
    <t>RS-2024-00507182</t>
  </si>
  <si>
    <t>2024-07-01 - 2026-06-30</t>
  </si>
  <si>
    <t>2026-01-01 - 2026-06-30 (0단계 3연차)</t>
  </si>
  <si>
    <t>IRIS, RCMS</t>
  </si>
  <si>
    <t>국문 - 본 연구는 중소벤처기업부와 한국산업기술진흥원이 지원하는 글로벌혁신특구혁신사업육성(R&amp;D)(RS-2024-00507182)으로 수행된 연구결과입니다.
영문 - This research was supported by the Ministry of SMEs and Startups(MSS), Korea Institute for Advancement of Technology(KIAT) through the Innovation Development(R&amp;D)(RS-2024-00507182) for Global Regulation-Free Special Zone</t>
  </si>
  <si>
    <t>정부지원금(국비+지방비)</t>
  </si>
  <si>
    <t>해외 협력 기관 섭외 및 계약서 작성</t>
  </si>
  <si>
    <t>검증 연구를 진행하기 위한 IRB 작성</t>
  </si>
  <si>
    <t>AI 모델 학습을 위한 국내외 개발 자료 수집 및 정제</t>
  </si>
  <si>
    <t>정확한 Ground truth 설정</t>
  </si>
  <si>
    <t>국내인증 신청</t>
  </si>
  <si>
    <t>해외인증 (일본) 신청</t>
  </si>
  <si>
    <t>뇌부종 영역 분할 기술 고도화</t>
  </si>
  <si>
    <t>표재철 침착증 영역 분할 기술 고도화</t>
  </si>
  <si>
    <t>국내 인증 완료</t>
  </si>
  <si>
    <t>일본 인증 완료</t>
  </si>
  <si>
    <t>FDA 인증 절차 개시</t>
  </si>
  <si>
    <t>소프트웨어 최적화 및 상용화</t>
  </si>
  <si>
    <t>임상 환경에 적용 시 활용성 검증</t>
  </si>
  <si>
    <t>FDA 인증 절차 완료</t>
  </si>
  <si>
    <t xml:space="preserve">유럽 인증 절차 개시 </t>
  </si>
  <si>
    <t>ARIA-E 뇌부종 영역 분할 정확도 (DSC)</t>
  </si>
  <si>
    <t>공인시험성적서</t>
  </si>
  <si>
    <t>%</t>
  </si>
  <si>
    <t>ARIA-H 표재철 침착증 검출 기술 민감도 (Sensitivity)</t>
  </si>
  <si>
    <t>ARIA-H 표재철 침착증 검출 기술 특이도 (Specificity)</t>
  </si>
  <si>
    <t>실증 자료 활용 국내 인증 신청/인증</t>
  </si>
  <si>
    <t>인증서</t>
  </si>
  <si>
    <t>건</t>
  </si>
  <si>
    <t>실증 자료 활용 일본 인증 신청/인증</t>
  </si>
  <si>
    <t>실증 자료 활용 미국 인증 신청/인증</t>
  </si>
  <si>
    <t>실증 자료 활용 유럽 인증 신청</t>
  </si>
  <si>
    <t>신청서</t>
  </si>
  <si>
    <t>신규고용</t>
  </si>
  <si>
    <t>국내매출</t>
  </si>
  <si>
    <t>백만원</t>
  </si>
  <si>
    <t>수출</t>
  </si>
  <si>
    <t>특허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</si>
</sst>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#,##0;[Red]#,##0"/>
    <numFmt numFmtId="177" formatCode="0_);[Red]\(0\)"/>
  </numFmts>
  <fonts count="1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color theme="1"/>
      <name val="맑은 고딕"/>
      <family val="3"/>
      <charset val="129"/>
      <scheme val="major"/>
    </font>
    <font>
      <b/>
      <sz val="8"/>
      <color theme="1"/>
      <name val="맑은 고딕"/>
      <family val="3"/>
      <charset val="129"/>
      <scheme val="major"/>
    </font>
    <font>
      <u/>
      <sz val="11"/>
      <color theme="10"/>
      <name val="맑은 고딕"/>
      <family val="2"/>
      <charset val="129"/>
      <scheme val="minor"/>
    </font>
    <font>
      <sz val="8"/>
      <name val="Arial"/>
      <family val="2"/>
      <charset val="129"/>
    </font>
    <font>
      <b/>
      <sz val="8"/>
      <color theme="1"/>
      <name val="맑은 고딕"/>
      <family val="3"/>
      <charset val="129"/>
    </font>
    <font>
      <sz val="8"/>
      <color theme="1"/>
      <name val="맑은 고딕"/>
      <family val="3"/>
      <charset val="129"/>
    </font>
    <font>
      <sz val="8"/>
      <color rgb="FF000000"/>
      <name val="맑은 고딕"/>
      <family val="3"/>
      <charset val="129"/>
    </font>
    <font>
      <sz val="11"/>
      <color theme="1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6D6D6"/>
        <bgColor indexed="64"/>
      </patternFill>
    </fill>
    <fill>
      <patternFill patternType="solid">
        <fgColor theme="2" tint="-9.9978637043366805E-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176" fontId="3" fillId="2" borderId="0" xfId="0" applyNumberFormat="1" applyFont="1" applyFill="1" applyProtection="1">
      <alignment vertical="center"/>
      <protection locked="0"/>
    </xf>
    <xf numFmtId="41" fontId="3" fillId="2" borderId="0" xfId="1" applyFont="1" applyFill="1" applyBorder="1" applyProtection="1">
      <alignment vertical="center"/>
      <protection locked="0"/>
    </xf>
    <xf numFmtId="14" fontId="3" fillId="2" borderId="0" xfId="0" applyNumberFormat="1" applyFont="1" applyFill="1" applyAlignment="1" applyProtection="1">
      <alignment horizontal="center" vertical="center"/>
      <protection locked="0"/>
    </xf>
    <xf numFmtId="14" fontId="3" fillId="2" borderId="0" xfId="1" applyNumberFormat="1" applyFont="1" applyFill="1" applyBorder="1" applyAlignment="1" applyProtection="1">
      <alignment horizontal="center" vertical="center"/>
      <protection locked="0"/>
    </xf>
    <xf numFmtId="176" fontId="3" fillId="2" borderId="0" xfId="0" applyNumberFormat="1" applyFont="1" applyFill="1" applyAlignment="1" applyProtection="1">
      <alignment horizontal="center" vertical="center"/>
      <protection locked="0"/>
    </xf>
    <xf numFmtId="176" fontId="3" fillId="0" borderId="0" xfId="0" applyNumberFormat="1" applyFont="1" applyAlignment="1" applyProtection="1">
      <alignment horizontal="center" vertical="center"/>
      <protection locked="0"/>
    </xf>
    <xf numFmtId="176" fontId="4" fillId="2" borderId="5" xfId="0" applyNumberFormat="1" applyFont="1" applyFill="1" applyBorder="1" applyProtection="1">
      <alignment vertical="center"/>
      <protection locked="0"/>
    </xf>
    <xf numFmtId="176" fontId="4" fillId="2" borderId="5" xfId="0" applyNumberFormat="1" applyFont="1" applyFill="1" applyBorder="1" applyAlignment="1" applyProtection="1">
      <alignment horizontal="center" vertical="center"/>
      <protection locked="0"/>
    </xf>
    <xf numFmtId="14" fontId="3" fillId="0" borderId="5" xfId="0" applyNumberFormat="1" applyFont="1" applyBorder="1" applyAlignment="1" applyProtection="1">
      <alignment horizontal="center" vertical="center"/>
      <protection locked="0"/>
    </xf>
    <xf numFmtId="0" fontId="0" fillId="0" borderId="0" xfId="0" applyAlignment="1">
      <alignment horizontal="left" vertical="center"/>
    </xf>
    <xf numFmtId="176" fontId="4" fillId="2" borderId="5" xfId="0" applyNumberFormat="1" applyFont="1" applyFill="1" applyBorder="1" applyAlignment="1" applyProtection="1">
      <alignment horizontal="left" vertical="center"/>
      <protection locked="0"/>
    </xf>
    <xf numFmtId="176" fontId="3" fillId="0" borderId="5" xfId="0" applyNumberFormat="1" applyFont="1" applyBorder="1" applyAlignment="1" applyProtection="1">
      <alignment horizontal="left" vertical="center"/>
      <protection locked="0"/>
    </xf>
    <xf numFmtId="176" fontId="3" fillId="0" borderId="5" xfId="0" applyNumberFormat="1" applyFont="1" applyBorder="1" applyAlignment="1" applyProtection="1">
      <alignment horizontal="left" vertical="center" wrapText="1"/>
      <protection locked="0"/>
    </xf>
    <xf numFmtId="176" fontId="3" fillId="0" borderId="6" xfId="0" applyNumberFormat="1" applyFont="1" applyBorder="1" applyAlignment="1" applyProtection="1">
      <alignment horizontal="left" vertical="center"/>
      <protection locked="0"/>
    </xf>
    <xf numFmtId="177" fontId="3" fillId="0" borderId="5" xfId="0" applyNumberFormat="1" applyFont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8" fillId="0" borderId="0" xfId="0" applyFont="1">
      <alignment vertical="center"/>
    </xf>
    <xf numFmtId="0" fontId="9" fillId="0" borderId="4" xfId="0" applyFont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0" fillId="0" borderId="0" xfId="0" applyFont="1">
      <alignment vertical="center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9" fontId="9" fillId="0" borderId="1" xfId="2" applyFont="1" applyFill="1" applyBorder="1" applyAlignment="1">
      <alignment horizontal="center" vertical="center" wrapText="1"/>
    </xf>
    <xf numFmtId="14" fontId="0" fillId="0" borderId="0" xfId="0" applyNumberFormat="1">
      <alignment vertical="center"/>
    </xf>
    <xf numFmtId="176" fontId="3" fillId="2" borderId="0" xfId="1" applyNumberFormat="1" applyFont="1" applyFill="1" applyBorder="1" applyProtection="1">
      <alignment vertical="center"/>
      <protection locked="0"/>
    </xf>
    <xf numFmtId="176" fontId="3" fillId="2" borderId="0" xfId="1" applyNumberFormat="1" applyFont="1" applyFill="1" applyBorder="1" applyAlignment="1" applyProtection="1">
      <alignment horizontal="center" vertical="center"/>
      <protection locked="0"/>
    </xf>
    <xf numFmtId="41" fontId="0" fillId="0" borderId="0" xfId="1" applyFont="1">
      <alignment vertical="center"/>
    </xf>
    <xf numFmtId="176" fontId="4" fillId="2" borderId="5" xfId="0" applyNumberFormat="1" applyFont="1" applyFill="1" applyBorder="1" applyAlignment="1" applyProtection="1">
      <alignment horizontal="center" vertical="center"/>
      <protection locked="0"/>
    </xf>
    <xf numFmtId="41" fontId="4" fillId="2" borderId="5" xfId="1" applyFont="1" applyFill="1" applyBorder="1" applyAlignment="1" applyProtection="1">
      <alignment horizontal="center" vertical="center"/>
      <protection locked="0"/>
    </xf>
    <xf numFmtId="0" fontId="9" fillId="3" borderId="2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9" fillId="3" borderId="8" xfId="0" applyFont="1" applyFill="1" applyBorder="1" applyAlignment="1">
      <alignment horizontal="center" vertical="center" wrapText="1"/>
    </xf>
  </cellXfs>
  <cellStyles count="4">
    <cellStyle name="Hyperlink" xfId="3" xr:uid="{CE08D5B9-372F-4712-9115-D30F17B6D5B9}"/>
    <cellStyle name="백분율" xfId="2" builtinId="5"/>
    <cellStyle name="쉼표 [0]" xfId="1" builtinId="6"/>
    <cellStyle name="표준" xfId="0" builtinId="0"/>
  </cellStyles>
  <dxfs count="36">
    <dxf>
      <fill>
        <patternFill>
          <bgColor theme="3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ont>
        <b/>
        <i val="0"/>
        <color rgb="FFFF0000"/>
      </font>
    </dxf>
    <dxf>
      <font>
        <color theme="1"/>
      </font>
      <fill>
        <patternFill>
          <bgColor theme="3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family val="3"/>
        <charset val="129"/>
        <scheme val="major"/>
      </font>
      <numFmt numFmtId="176" formatCode="#,##0;[Red]#,##0"/>
      <fill>
        <patternFill patternType="solid">
          <fgColor indexed="64"/>
          <bgColor theme="0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family val="3"/>
        <charset val="129"/>
        <scheme val="major"/>
      </font>
      <numFmt numFmtId="176" formatCode="#,##0;[Red]#,##0"/>
      <fill>
        <patternFill patternType="solid">
          <fgColor indexed="64"/>
          <bgColor theme="0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family val="3"/>
        <charset val="129"/>
        <scheme val="major"/>
      </font>
      <numFmt numFmtId="176" formatCode="#,##0;[Red]#,##0"/>
      <fill>
        <patternFill patternType="solid">
          <fgColor indexed="64"/>
          <bgColor theme="0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family val="3"/>
        <charset val="129"/>
        <scheme val="major"/>
      </font>
      <numFmt numFmtId="176" formatCode="#,##0;[Red]#,##0"/>
      <fill>
        <patternFill patternType="solid">
          <fgColor indexed="64"/>
          <bgColor theme="0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family val="3"/>
        <charset val="129"/>
        <scheme val="major"/>
      </font>
      <numFmt numFmtId="176" formatCode="#,##0;[Red]#,##0"/>
      <fill>
        <patternFill patternType="solid">
          <fgColor indexed="64"/>
          <bgColor theme="0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family val="3"/>
        <charset val="129"/>
        <scheme val="major"/>
      </font>
      <numFmt numFmtId="176" formatCode="#,##0;[Red]#,##0"/>
      <fill>
        <patternFill patternType="solid">
          <fgColor indexed="64"/>
          <bgColor theme="0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family val="3"/>
        <charset val="129"/>
        <scheme val="major"/>
      </font>
      <numFmt numFmtId="176" formatCode="#,##0;[Red]#,##0"/>
      <fill>
        <patternFill patternType="solid">
          <fgColor indexed="64"/>
          <bgColor theme="0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family val="3"/>
        <charset val="129"/>
        <scheme val="major"/>
      </font>
      <numFmt numFmtId="176" formatCode="#,##0;[Red]#,##0"/>
      <fill>
        <patternFill patternType="solid">
          <fgColor indexed="64"/>
          <bgColor theme="0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family val="3"/>
        <charset val="129"/>
        <scheme val="major"/>
      </font>
      <numFmt numFmtId="19" formatCode="yyyy/mm/dd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family val="3"/>
        <charset val="129"/>
        <scheme val="major"/>
      </font>
      <numFmt numFmtId="19" formatCode="yyyy/mm/dd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family val="3"/>
        <charset val="129"/>
        <scheme val="major"/>
      </font>
      <fill>
        <patternFill patternType="solid">
          <fgColor indexed="64"/>
          <bgColor theme="0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family val="3"/>
        <charset val="129"/>
        <scheme val="major"/>
      </font>
      <numFmt numFmtId="19" formatCode="yyyy/mm/dd"/>
      <fill>
        <patternFill patternType="solid">
          <fgColor indexed="64"/>
          <bgColor theme="0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family val="3"/>
        <charset val="129"/>
        <scheme val="major"/>
      </font>
      <numFmt numFmtId="19" formatCode="yyyy/mm/dd"/>
      <fill>
        <patternFill patternType="solid">
          <fgColor indexed="64"/>
          <bgColor theme="0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family val="3"/>
        <charset val="129"/>
        <scheme val="major"/>
      </font>
      <numFmt numFmtId="176" formatCode="#,##0;[Red]#,##0"/>
      <fill>
        <patternFill patternType="solid">
          <fgColor indexed="64"/>
          <bgColor theme="0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family val="3"/>
        <charset val="129"/>
        <scheme val="major"/>
      </font>
      <numFmt numFmtId="176" formatCode="#,##0;[Red]#,##0"/>
      <fill>
        <patternFill patternType="solid">
          <fgColor indexed="64"/>
          <bgColor theme="0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family val="3"/>
        <charset val="129"/>
        <scheme val="major"/>
      </font>
      <fill>
        <patternFill patternType="solid">
          <fgColor indexed="64"/>
          <bgColor theme="0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family val="3"/>
        <charset val="129"/>
        <scheme val="major"/>
      </font>
      <numFmt numFmtId="176" formatCode="#,##0;[Red]#,##0"/>
      <fill>
        <patternFill patternType="solid">
          <fgColor indexed="64"/>
          <bgColor theme="0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family val="3"/>
        <charset val="129"/>
        <scheme val="major"/>
      </font>
      <numFmt numFmtId="176" formatCode="#,##0;[Red]#,##0"/>
      <fill>
        <patternFill patternType="solid">
          <fgColor indexed="64"/>
          <bgColor theme="0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family val="3"/>
        <charset val="129"/>
        <scheme val="major"/>
      </font>
      <numFmt numFmtId="176" formatCode="#,##0;[Red]#,##0"/>
      <fill>
        <patternFill patternType="solid">
          <fgColor indexed="64"/>
          <bgColor theme="0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family val="3"/>
        <charset val="129"/>
        <scheme val="major"/>
      </font>
      <fill>
        <patternFill patternType="solid">
          <fgColor indexed="64"/>
          <bgColor theme="0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family val="3"/>
        <charset val="129"/>
        <scheme val="major"/>
      </font>
      <numFmt numFmtId="19" formatCode="yyyy/mm/dd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family val="3"/>
        <charset val="129"/>
        <scheme val="maj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family val="3"/>
        <charset val="129"/>
        <scheme val="major"/>
      </font>
      <numFmt numFmtId="19" formatCode="yyyy/mm/dd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refreshOnLoad="1" connectionId="1" xr16:uid="{E1428FBA-EE62-460E-B819-A31F7C3FF273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refreshOnLoad="1" connectionId="2" xr16:uid="{7EB84AB5-D458-46A9-9F59-F3E419E48A7F}" autoFormatId="16" applyNumberFormats="0" applyBorderFormats="0" applyFontFormats="0" applyPatternFormats="0" applyAlignmentFormats="0" applyWidthHeightFormats="0">
  <queryTableRefresh nextId="16">
    <queryTableFields count="1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B850819-6720-48E0-AF35-0B2D5691CEB6}" name="파일명" displayName="파일명" ref="G1:G2" totalsRowShown="0" headerRowDxfId="35" dataDxfId="34" headerRowCellStyle="쉼표 [0]" dataCellStyle="쉼표 [0]">
  <autoFilter ref="G1:G2" xr:uid="{1B850819-6720-48E0-AF35-0B2D5691CEB6}"/>
  <tableColumns count="1">
    <tableColumn id="1" xr3:uid="{A6E6044B-92D8-4A8F-B3A7-A12C3877F860}" name="열1" dataDxfId="33" dataCellStyle="쉼표 [0]">
      <calculatedColumnFormula array="1">SUBSTITUTE(MID(CELL("filename",A1),FIND("[",CELL("filename",A1))+1,FIND("]",CELL("filename",A1))-FIND("[",CELL("filename",A1))-1), ".xlsx", "")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21F53E0-88B3-4702-8C50-E1E3AE1553DD}" name="쿼리1" displayName="쿼리1" ref="A1:B15" tableType="queryTable" totalsRowShown="0" dataDxfId="32">
  <autoFilter ref="A1:B15" xr:uid="{421F53E0-88B3-4702-8C50-E1E3AE1553DD}"/>
  <tableColumns count="2">
    <tableColumn id="1" xr3:uid="{6811B6BA-68EB-4A27-A5E8-74F7CC48B115}" uniqueName="1" name="Column1" queryTableFieldId="1" dataDxfId="31"/>
    <tableColumn id="2" xr3:uid="{F32A2F07-1052-46EA-952E-C55D4AB75C8F}" uniqueName="2" name="Column2" queryTableFieldId="2" dataDxfId="3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0BF082F-53F9-49B7-A45C-1EB1A783B071}" name="쿼리2" displayName="쿼리2" ref="A17:O24" tableType="queryTable" totalsRowShown="0" headerRowDxfId="29" dataDxfId="28">
  <autoFilter ref="A17:O24" xr:uid="{B0BF082F-53F9-49B7-A45C-1EB1A783B071}"/>
  <tableColumns count="15">
    <tableColumn id="1" xr3:uid="{0F2914C2-C8B3-46C6-8A0C-A7E5AABE2418}" uniqueName="1" name="Column1" queryTableFieldId="1" dataDxfId="27"/>
    <tableColumn id="2" xr3:uid="{DC2A9131-7E27-4762-A033-0B0B6BB80A79}" uniqueName="2" name="Column2" queryTableFieldId="2" dataDxfId="25"/>
    <tableColumn id="3" xr3:uid="{15B8A075-924A-4F77-9C39-E818235BEA69}" uniqueName="3" name="Column3" queryTableFieldId="3" dataDxfId="24"/>
    <tableColumn id="4" xr3:uid="{E3526574-E136-4A27-B9D6-AB1EC078A604}" uniqueName="4" name="Column4" queryTableFieldId="4" dataDxfId="26"/>
    <tableColumn id="5" xr3:uid="{86C3A118-E22D-467A-A8C6-3B8FD0D5B8B2}" uniqueName="5" name="Column5" queryTableFieldId="5" dataDxfId="23" dataCellStyle="쉼표 [0]"/>
    <tableColumn id="6" xr3:uid="{F75D7DA7-D7FD-4922-8064-F907DAA3A629}" uniqueName="6" name="Column6" queryTableFieldId="6" dataDxfId="22" dataCellStyle="쉼표 [0]"/>
    <tableColumn id="7" xr3:uid="{BE8AED2F-4E5E-4A36-AAB9-E3E95C0441AE}" uniqueName="7" name="Column7" queryTableFieldId="7" dataDxfId="21" dataCellStyle="쉼표 [0]"/>
    <tableColumn id="8" xr3:uid="{D3ED56F8-218D-4082-B99D-25694FAC2CD5}" uniqueName="8" name="Column8" queryTableFieldId="8" dataDxfId="20" dataCellStyle="쉼표 [0]"/>
    <tableColumn id="9" xr3:uid="{368D1A99-AE6F-4D23-96A3-EBC8D664866C}" uniqueName="9" name="Column9" queryTableFieldId="9" dataDxfId="19" dataCellStyle="쉼표 [0]"/>
    <tableColumn id="10" xr3:uid="{9CE2C289-F616-4094-A439-4984025E56F8}" uniqueName="10" name="Column10" queryTableFieldId="10" dataDxfId="18" dataCellStyle="쉼표 [0]"/>
    <tableColumn id="11" xr3:uid="{394D2E84-2C7D-4F3C-925C-38115EEC6C64}" uniqueName="11" name="Column11" queryTableFieldId="11" dataDxfId="17" dataCellStyle="쉼표 [0]"/>
    <tableColumn id="12" xr3:uid="{6F0B6F7A-B763-4899-8B03-00F5DD6AC656}" uniqueName="12" name="Column12" queryTableFieldId="12" dataDxfId="16" dataCellStyle="쉼표 [0]"/>
    <tableColumn id="13" xr3:uid="{5D17574F-781C-436D-B6FB-9133EC1A1923}" uniqueName="13" name="Column13" queryTableFieldId="13" dataDxfId="15" dataCellStyle="쉼표 [0]"/>
    <tableColumn id="14" xr3:uid="{D98EE9A7-E736-42AD-B910-87D62615A8DB}" uniqueName="14" name="Column14" queryTableFieldId="14" dataDxfId="14" dataCellStyle="쉼표 [0]"/>
    <tableColumn id="15" xr3:uid="{A00C3AD1-0E3B-4314-98C9-8AD000C39263}" uniqueName="15" name="Column15" queryTableFieldId="15" dataDxfId="13" dataCellStyle="쉼표 [0]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5F446-DE9A-4BBE-905F-EDEFD937E208}">
  <sheetPr>
    <tabColor theme="5" tint="0.79998168889431442"/>
  </sheetPr>
  <dimension ref="A1:O68"/>
  <sheetViews>
    <sheetView tabSelected="1" workbookViewId="0">
      <selection activeCell="B6" sqref="B6"/>
    </sheetView>
  </sheetViews>
  <sheetFormatPr defaultColWidth="17.59765625" defaultRowHeight="15" customHeight="1" x14ac:dyDescent="0.4"/>
  <cols>
    <col min="1" max="1" width="16.19921875" style="1" bestFit="1" customWidth="1"/>
    <col min="2" max="2" width="80.796875" style="1" bestFit="1" customWidth="1"/>
    <col min="3" max="3" width="11" style="1" bestFit="1" customWidth="1"/>
    <col min="4" max="4" width="8.796875" style="1" bestFit="1" customWidth="1"/>
    <col min="5" max="5" width="11.796875" style="2" bestFit="1" customWidth="1"/>
    <col min="6" max="6" width="15.5" style="3" bestFit="1" customWidth="1"/>
    <col min="7" max="7" width="12.8984375" style="4" bestFit="1" customWidth="1"/>
    <col min="8" max="9" width="15.5" style="1" bestFit="1" customWidth="1"/>
    <col min="10" max="10" width="13.09765625" style="1" bestFit="1" customWidth="1"/>
    <col min="11" max="11" width="12.8984375" style="1" bestFit="1" customWidth="1"/>
    <col min="12" max="12" width="11.796875" style="1" bestFit="1" customWidth="1"/>
    <col min="13" max="13" width="12.8984375" style="1" bestFit="1" customWidth="1"/>
    <col min="14" max="15" width="9.59765625" style="1" bestFit="1" customWidth="1"/>
    <col min="16" max="33" width="10.69921875" style="1" customWidth="1"/>
    <col min="34" max="16384" width="17.59765625" style="1"/>
  </cols>
  <sheetData>
    <row r="1" spans="1:10" ht="10.8" x14ac:dyDescent="0.4">
      <c r="A1" s="3" t="s">
        <v>23</v>
      </c>
      <c r="B1" s="1" t="s">
        <v>24</v>
      </c>
      <c r="F1" s="1"/>
      <c r="G1" s="4" t="s">
        <v>39</v>
      </c>
    </row>
    <row r="2" spans="1:10" ht="17.399999999999999" x14ac:dyDescent="0.4">
      <c r="A2" t="s">
        <v>25</v>
      </c>
      <c r="B2" t="s">
        <v>18</v>
      </c>
      <c r="F2" s="1"/>
      <c r="G2" s="4" t="str" cm="1">
        <f t="array" aca="1" ref="G2" ca="1">SUBSTITUTE(MID(CELL("filename",A1),FIND("[",CELL("filename",A1))+1,FIND("]",CELL("filename",A1))-FIND("[",CELL("filename",A1))-1), ".xlsx", "")</f>
        <v>RS-2024-00507182</v>
      </c>
    </row>
    <row r="3" spans="1:10" ht="17.399999999999999" x14ac:dyDescent="0.4">
      <c r="A3" t="s">
        <v>26</v>
      </c>
      <c r="B3" t="s">
        <v>72</v>
      </c>
      <c r="E3" s="1"/>
      <c r="F3" s="1"/>
      <c r="G3" s="1"/>
    </row>
    <row r="4" spans="1:10" ht="17.399999999999999" x14ac:dyDescent="0.4">
      <c r="A4" t="s">
        <v>27</v>
      </c>
      <c r="B4" t="s">
        <v>73</v>
      </c>
      <c r="E4" s="1"/>
      <c r="F4" s="1"/>
      <c r="G4" s="1"/>
    </row>
    <row r="5" spans="1:10" ht="17.399999999999999" x14ac:dyDescent="0.4">
      <c r="A5" t="s">
        <v>28</v>
      </c>
      <c r="B5" t="s">
        <v>74</v>
      </c>
      <c r="E5" s="1"/>
      <c r="F5" s="1"/>
      <c r="G5" s="1"/>
    </row>
    <row r="6" spans="1:10" ht="17.399999999999999" x14ac:dyDescent="0.4">
      <c r="A6" t="s">
        <v>29</v>
      </c>
      <c r="B6" t="s">
        <v>75</v>
      </c>
      <c r="E6" s="1"/>
      <c r="F6" s="1"/>
      <c r="G6" s="1"/>
    </row>
    <row r="7" spans="1:10" ht="17.399999999999999" x14ac:dyDescent="0.4">
      <c r="A7" t="s">
        <v>30</v>
      </c>
      <c r="B7" t="s">
        <v>76</v>
      </c>
      <c r="E7" s="1"/>
      <c r="F7" s="1"/>
      <c r="G7" s="1"/>
    </row>
    <row r="8" spans="1:10" ht="17.399999999999999" x14ac:dyDescent="0.4">
      <c r="A8" t="s">
        <v>31</v>
      </c>
      <c r="B8" t="s">
        <v>19</v>
      </c>
      <c r="E8" s="1"/>
      <c r="F8" s="1"/>
      <c r="G8" s="1"/>
    </row>
    <row r="9" spans="1:10" ht="17.399999999999999" x14ac:dyDescent="0.4">
      <c r="A9" t="s">
        <v>32</v>
      </c>
      <c r="B9" t="s">
        <v>77</v>
      </c>
      <c r="C9" s="5"/>
      <c r="E9" s="1"/>
      <c r="F9" s="1"/>
      <c r="G9" s="1"/>
    </row>
    <row r="10" spans="1:10" ht="17.399999999999999" x14ac:dyDescent="0.4">
      <c r="A10" t="s">
        <v>33</v>
      </c>
      <c r="B10" t="s">
        <v>78</v>
      </c>
      <c r="C10" s="6"/>
      <c r="D10" s="5"/>
      <c r="E10" s="5"/>
      <c r="F10" s="1"/>
      <c r="G10" s="1"/>
    </row>
    <row r="11" spans="1:10" ht="17.399999999999999" x14ac:dyDescent="0.4">
      <c r="A11" t="s">
        <v>34</v>
      </c>
      <c r="B11">
        <v>6</v>
      </c>
      <c r="C11" s="5"/>
      <c r="D11" s="5"/>
      <c r="E11" s="5"/>
      <c r="F11" s="1"/>
      <c r="G11" s="1"/>
    </row>
    <row r="12" spans="1:10" ht="17.399999999999999" x14ac:dyDescent="0.4">
      <c r="A12" t="s">
        <v>35</v>
      </c>
      <c r="B12" t="s">
        <v>79</v>
      </c>
      <c r="E12" s="1"/>
      <c r="F12" s="5"/>
      <c r="G12" s="5"/>
      <c r="H12" s="5"/>
      <c r="I12" s="5"/>
      <c r="J12" s="5"/>
    </row>
    <row r="13" spans="1:10" ht="17.399999999999999" x14ac:dyDescent="0.4">
      <c r="A13" t="s">
        <v>36</v>
      </c>
      <c r="B13" t="s">
        <v>80</v>
      </c>
      <c r="E13" s="1"/>
      <c r="F13" s="5"/>
      <c r="G13" s="5"/>
      <c r="H13" s="5"/>
      <c r="I13" s="5"/>
      <c r="J13" s="5"/>
    </row>
    <row r="14" spans="1:10" ht="17.399999999999999" x14ac:dyDescent="0.4">
      <c r="A14" t="s">
        <v>37</v>
      </c>
      <c r="B14" s="24">
        <v>45511</v>
      </c>
      <c r="E14" s="1"/>
      <c r="F14" s="5"/>
      <c r="G14" s="1"/>
    </row>
    <row r="15" spans="1:10" ht="17.399999999999999" x14ac:dyDescent="0.4">
      <c r="A15" t="s">
        <v>38</v>
      </c>
      <c r="B15" t="s">
        <v>81</v>
      </c>
      <c r="C15" s="5"/>
      <c r="E15" s="1"/>
      <c r="F15" s="1"/>
      <c r="G15" s="1"/>
    </row>
    <row r="17" spans="1:15" ht="10.8" x14ac:dyDescent="0.4">
      <c r="A17" s="1" t="s">
        <v>23</v>
      </c>
      <c r="B17" s="1" t="s">
        <v>24</v>
      </c>
      <c r="C17" s="1" t="s">
        <v>40</v>
      </c>
      <c r="D17" s="1" t="s">
        <v>41</v>
      </c>
      <c r="E17" s="25" t="s">
        <v>42</v>
      </c>
      <c r="F17" s="5" t="s">
        <v>43</v>
      </c>
      <c r="G17" s="26" t="s">
        <v>44</v>
      </c>
      <c r="H17" s="1" t="s">
        <v>45</v>
      </c>
      <c r="I17" s="1" t="s">
        <v>46</v>
      </c>
      <c r="J17" s="1" t="s">
        <v>47</v>
      </c>
      <c r="K17" s="1" t="s">
        <v>48</v>
      </c>
      <c r="L17" s="1" t="s">
        <v>49</v>
      </c>
      <c r="M17" s="1" t="s">
        <v>50</v>
      </c>
      <c r="N17" s="1" t="s">
        <v>51</v>
      </c>
      <c r="O17" s="1" t="s">
        <v>52</v>
      </c>
    </row>
    <row r="18" spans="1:15" ht="17.399999999999999" x14ac:dyDescent="0.4">
      <c r="A18" t="s">
        <v>53</v>
      </c>
      <c r="B18" t="s">
        <v>54</v>
      </c>
      <c r="C18" t="s">
        <v>55</v>
      </c>
      <c r="D18" t="s">
        <v>56</v>
      </c>
      <c r="E18" t="s">
        <v>57</v>
      </c>
      <c r="F18" t="s">
        <v>58</v>
      </c>
      <c r="G18" t="s">
        <v>59</v>
      </c>
      <c r="H18" t="s">
        <v>60</v>
      </c>
      <c r="I18" t="s">
        <v>61</v>
      </c>
      <c r="J18" t="s">
        <v>62</v>
      </c>
      <c r="K18" t="s">
        <v>63</v>
      </c>
      <c r="L18" t="s">
        <v>64</v>
      </c>
      <c r="M18" t="s">
        <v>65</v>
      </c>
      <c r="N18" t="s">
        <v>66</v>
      </c>
      <c r="O18" t="s">
        <v>2</v>
      </c>
    </row>
    <row r="19" spans="1:15" ht="17.399999999999999" x14ac:dyDescent="0.4">
      <c r="A19" t="s">
        <v>68</v>
      </c>
      <c r="B19" s="24">
        <v>45474</v>
      </c>
      <c r="C19" s="24">
        <v>45657</v>
      </c>
      <c r="D19">
        <v>6</v>
      </c>
      <c r="E19" s="27">
        <v>0</v>
      </c>
      <c r="F19" s="27">
        <v>50000000</v>
      </c>
      <c r="G19" s="27">
        <v>23000000</v>
      </c>
      <c r="H19" s="27">
        <v>9734000</v>
      </c>
      <c r="I19" s="27">
        <v>14599000</v>
      </c>
      <c r="J19" s="27">
        <v>24333000</v>
      </c>
      <c r="K19" s="27">
        <v>82734000</v>
      </c>
      <c r="L19" s="27">
        <v>14599000</v>
      </c>
      <c r="M19" s="27">
        <v>97333000</v>
      </c>
      <c r="N19" s="27"/>
      <c r="O19" s="27"/>
    </row>
    <row r="20" spans="1:15" ht="17.399999999999999" x14ac:dyDescent="0.4">
      <c r="A20" t="s">
        <v>69</v>
      </c>
      <c r="B20" s="24">
        <v>45658</v>
      </c>
      <c r="C20" s="24">
        <v>46022</v>
      </c>
      <c r="D20">
        <v>12</v>
      </c>
      <c r="E20" s="27">
        <v>24238000</v>
      </c>
      <c r="F20" s="27">
        <v>100000000</v>
      </c>
      <c r="G20" s="27">
        <v>54000000</v>
      </c>
      <c r="H20" s="27">
        <v>20534000</v>
      </c>
      <c r="I20" s="27">
        <v>30800000</v>
      </c>
      <c r="J20" s="27">
        <v>51334000</v>
      </c>
      <c r="K20" s="27">
        <v>174534000</v>
      </c>
      <c r="L20" s="27">
        <v>30800000</v>
      </c>
      <c r="M20" s="27">
        <v>205334000</v>
      </c>
      <c r="N20" s="27"/>
      <c r="O20" s="27"/>
    </row>
    <row r="21" spans="1:15" ht="17.399999999999999" x14ac:dyDescent="0.4">
      <c r="A21" t="s">
        <v>70</v>
      </c>
      <c r="B21" s="24">
        <v>46023</v>
      </c>
      <c r="C21" s="24">
        <v>46203</v>
      </c>
      <c r="D21">
        <v>6</v>
      </c>
      <c r="E21" s="27">
        <v>48516666</v>
      </c>
      <c r="F21" s="27">
        <v>50000000</v>
      </c>
      <c r="G21" s="27">
        <v>23000000</v>
      </c>
      <c r="H21" s="27">
        <v>9734000</v>
      </c>
      <c r="I21" s="27">
        <v>14599000</v>
      </c>
      <c r="J21" s="27">
        <v>24333000</v>
      </c>
      <c r="K21" s="27">
        <v>82734000</v>
      </c>
      <c r="L21" s="27">
        <v>14599000</v>
      </c>
      <c r="M21" s="27">
        <v>97333000</v>
      </c>
      <c r="N21" s="27"/>
      <c r="O21" s="27"/>
    </row>
    <row r="22" spans="1:15" ht="17.399999999999999" x14ac:dyDescent="0.4">
      <c r="A22"/>
      <c r="B22" s="24"/>
      <c r="C22" s="24"/>
      <c r="D22" t="s">
        <v>71</v>
      </c>
      <c r="E22" s="27">
        <v>0</v>
      </c>
      <c r="F22" s="27"/>
      <c r="G22" s="27"/>
      <c r="H22" s="27"/>
      <c r="I22" s="27"/>
      <c r="J22" s="27">
        <v>0</v>
      </c>
      <c r="K22" s="27">
        <v>0</v>
      </c>
      <c r="L22" s="27">
        <v>0</v>
      </c>
      <c r="M22" s="27">
        <v>0</v>
      </c>
      <c r="N22" s="27"/>
      <c r="O22" s="27"/>
    </row>
    <row r="23" spans="1:15" ht="17.399999999999999" x14ac:dyDescent="0.4">
      <c r="A23"/>
      <c r="B23" s="24"/>
      <c r="C23" s="24"/>
      <c r="D23" t="s">
        <v>71</v>
      </c>
      <c r="E23" s="27">
        <v>0</v>
      </c>
      <c r="F23" s="27"/>
      <c r="G23" s="27"/>
      <c r="H23" s="27"/>
      <c r="I23" s="27"/>
      <c r="J23" s="27">
        <v>0</v>
      </c>
      <c r="K23" s="27">
        <v>0</v>
      </c>
      <c r="L23" s="27">
        <v>0</v>
      </c>
      <c r="M23" s="27">
        <v>0</v>
      </c>
      <c r="N23" s="27"/>
      <c r="O23" s="27"/>
    </row>
    <row r="24" spans="1:15" ht="17.399999999999999" x14ac:dyDescent="0.4">
      <c r="A24" t="s">
        <v>67</v>
      </c>
      <c r="B24"/>
      <c r="C24"/>
      <c r="D24">
        <v>24</v>
      </c>
      <c r="E24" s="27">
        <v>0</v>
      </c>
      <c r="F24" s="27">
        <v>200000000</v>
      </c>
      <c r="G24" s="27">
        <v>100000000</v>
      </c>
      <c r="H24" s="27">
        <v>40002000</v>
      </c>
      <c r="I24" s="27">
        <v>59998000</v>
      </c>
      <c r="J24" s="27">
        <v>100000000</v>
      </c>
      <c r="K24" s="27">
        <v>340002000</v>
      </c>
      <c r="L24" s="27">
        <v>59998000</v>
      </c>
      <c r="M24" s="27">
        <v>400000000</v>
      </c>
      <c r="N24" s="27">
        <v>0</v>
      </c>
      <c r="O24" s="27">
        <v>0</v>
      </c>
    </row>
    <row r="68" spans="1:14" ht="15" customHeight="1" x14ac:dyDescent="0.4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</sheetData>
  <sheetProtection selectLockedCells="1" autoFilter="0"/>
  <phoneticPr fontId="2" type="noConversion"/>
  <dataValidations disablePrompts="1" count="2">
    <dataValidation type="list" allowBlank="1" showInputMessage="1" showErrorMessage="1" sqref="B68:C68" xr:uid="{CA73FDAC-184A-4927-AB2A-1CDF9BDF554E}">
      <formula1>$A$3:$C$3</formula1>
    </dataValidation>
    <dataValidation type="list" allowBlank="1" showInputMessage="1" showErrorMessage="1" sqref="A68" xr:uid="{EEB98D16-1946-4104-893F-D8E2215185E7}">
      <formula1>#REF!</formula1>
    </dataValidation>
  </dataValidations>
  <pageMargins left="0.7" right="0.7" top="0.75" bottom="0.75" header="0.3" footer="0.3"/>
  <pageSetup paperSize="9" scale="73" orientation="portrait"/>
  <tableParts count="3">
    <tablePart r:id="rId1"/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A8FD7-B543-4E4F-8516-CCAF187F460D}">
  <dimension ref="A1:G50"/>
  <sheetViews>
    <sheetView workbookViewId="0">
      <selection activeCell="B14" sqref="B14"/>
    </sheetView>
  </sheetViews>
  <sheetFormatPr defaultRowHeight="17.399999999999999" x14ac:dyDescent="0.4"/>
  <cols>
    <col min="2" max="2" width="71.19921875" style="10" bestFit="1" customWidth="1"/>
    <col min="4" max="5" width="11.09765625" bestFit="1" customWidth="1"/>
  </cols>
  <sheetData>
    <row r="1" spans="1:7" x14ac:dyDescent="0.4">
      <c r="A1" s="7"/>
      <c r="B1" s="11"/>
      <c r="C1" s="7"/>
      <c r="D1" s="28" t="s">
        <v>3</v>
      </c>
      <c r="E1" s="28"/>
      <c r="F1" s="29" t="s">
        <v>4</v>
      </c>
      <c r="G1" s="29"/>
    </row>
    <row r="2" spans="1:7" x14ac:dyDescent="0.4">
      <c r="A2" s="8" t="s">
        <v>5</v>
      </c>
      <c r="B2" s="8" t="s">
        <v>6</v>
      </c>
      <c r="C2" s="8" t="s">
        <v>7</v>
      </c>
      <c r="D2" s="8" t="s">
        <v>0</v>
      </c>
      <c r="E2" s="8" t="s">
        <v>1</v>
      </c>
      <c r="F2" s="8" t="s">
        <v>0</v>
      </c>
      <c r="G2" s="8" t="s">
        <v>1</v>
      </c>
    </row>
    <row r="3" spans="1:7" x14ac:dyDescent="0.4">
      <c r="A3" s="15">
        <v>1</v>
      </c>
      <c r="B3" s="12" t="s">
        <v>82</v>
      </c>
      <c r="C3" s="9" t="s">
        <v>68</v>
      </c>
      <c r="D3" s="9">
        <v>45474</v>
      </c>
      <c r="E3" s="9">
        <v>45596</v>
      </c>
      <c r="F3" s="9">
        <v>45474</v>
      </c>
      <c r="G3" s="9">
        <v>45596</v>
      </c>
    </row>
    <row r="4" spans="1:7" x14ac:dyDescent="0.4">
      <c r="A4" s="15">
        <v>2</v>
      </c>
      <c r="B4" s="12" t="s">
        <v>83</v>
      </c>
      <c r="C4" s="9" t="s">
        <v>68</v>
      </c>
      <c r="D4" s="9">
        <v>45505</v>
      </c>
      <c r="E4" s="9">
        <v>45626</v>
      </c>
      <c r="F4" s="9">
        <v>45505</v>
      </c>
      <c r="G4" s="9">
        <v>45626</v>
      </c>
    </row>
    <row r="5" spans="1:7" x14ac:dyDescent="0.4">
      <c r="A5" s="15">
        <v>3</v>
      </c>
      <c r="B5" s="12" t="s">
        <v>84</v>
      </c>
      <c r="C5" s="9" t="s">
        <v>68</v>
      </c>
      <c r="D5" s="9">
        <v>45505</v>
      </c>
      <c r="E5" s="9">
        <v>45657</v>
      </c>
      <c r="F5" s="9">
        <v>45505</v>
      </c>
      <c r="G5" s="9">
        <v>45657</v>
      </c>
    </row>
    <row r="6" spans="1:7" x14ac:dyDescent="0.4">
      <c r="A6" s="15">
        <v>4</v>
      </c>
      <c r="B6" s="12" t="s">
        <v>85</v>
      </c>
      <c r="C6" s="9" t="s">
        <v>68</v>
      </c>
      <c r="D6" s="9">
        <v>45505</v>
      </c>
      <c r="E6" s="9">
        <v>45657</v>
      </c>
      <c r="F6" s="9">
        <v>45505</v>
      </c>
      <c r="G6" s="9">
        <v>45657</v>
      </c>
    </row>
    <row r="7" spans="1:7" x14ac:dyDescent="0.4">
      <c r="A7" s="15">
        <v>5</v>
      </c>
      <c r="B7" s="12" t="s">
        <v>86</v>
      </c>
      <c r="C7" s="9" t="s">
        <v>68</v>
      </c>
      <c r="D7" s="9">
        <v>45597</v>
      </c>
      <c r="E7" s="9">
        <v>45657</v>
      </c>
      <c r="F7" s="9">
        <v>45597</v>
      </c>
      <c r="G7" s="9">
        <v>45657</v>
      </c>
    </row>
    <row r="8" spans="1:7" x14ac:dyDescent="0.4">
      <c r="A8" s="15">
        <v>6</v>
      </c>
      <c r="B8" s="13" t="s">
        <v>87</v>
      </c>
      <c r="C8" s="9" t="s">
        <v>68</v>
      </c>
      <c r="D8" s="9">
        <v>45627</v>
      </c>
      <c r="E8" s="9">
        <v>45657</v>
      </c>
      <c r="F8" s="9">
        <v>45627</v>
      </c>
      <c r="G8" s="9">
        <v>45657</v>
      </c>
    </row>
    <row r="9" spans="1:7" x14ac:dyDescent="0.4">
      <c r="A9" s="15">
        <v>7</v>
      </c>
      <c r="B9" s="13" t="s">
        <v>88</v>
      </c>
      <c r="C9" s="9" t="s">
        <v>69</v>
      </c>
      <c r="D9" s="9">
        <v>45658</v>
      </c>
      <c r="E9" s="9">
        <v>46022</v>
      </c>
      <c r="F9" s="9">
        <v>45658</v>
      </c>
      <c r="G9" s="9">
        <v>46022</v>
      </c>
    </row>
    <row r="10" spans="1:7" x14ac:dyDescent="0.4">
      <c r="A10" s="15">
        <v>8</v>
      </c>
      <c r="B10" s="12" t="s">
        <v>89</v>
      </c>
      <c r="C10" s="9" t="s">
        <v>69</v>
      </c>
      <c r="D10" s="9">
        <v>45658</v>
      </c>
      <c r="E10" s="9">
        <v>46022</v>
      </c>
      <c r="F10" s="9">
        <v>45658</v>
      </c>
      <c r="G10" s="9">
        <v>46022</v>
      </c>
    </row>
    <row r="11" spans="1:7" x14ac:dyDescent="0.4">
      <c r="A11" s="15">
        <v>9</v>
      </c>
      <c r="B11" s="12" t="s">
        <v>90</v>
      </c>
      <c r="C11" s="9" t="s">
        <v>69</v>
      </c>
      <c r="D11" s="9">
        <v>45658</v>
      </c>
      <c r="E11" s="9">
        <v>45747</v>
      </c>
      <c r="F11" s="9">
        <v>45658</v>
      </c>
      <c r="G11" s="9">
        <v>45747</v>
      </c>
    </row>
    <row r="12" spans="1:7" x14ac:dyDescent="0.4">
      <c r="A12" s="15">
        <v>10</v>
      </c>
      <c r="B12" s="12" t="s">
        <v>91</v>
      </c>
      <c r="C12" s="9" t="s">
        <v>69</v>
      </c>
      <c r="D12" s="9">
        <v>45658</v>
      </c>
      <c r="E12" s="9">
        <v>45838</v>
      </c>
      <c r="F12" s="9">
        <v>45658</v>
      </c>
      <c r="G12" s="9">
        <v>45838</v>
      </c>
    </row>
    <row r="13" spans="1:7" x14ac:dyDescent="0.4">
      <c r="A13" s="15">
        <v>11</v>
      </c>
      <c r="B13" s="12" t="s">
        <v>92</v>
      </c>
      <c r="C13" s="9" t="s">
        <v>69</v>
      </c>
      <c r="D13" s="9">
        <v>45658</v>
      </c>
      <c r="E13" s="9">
        <v>46022</v>
      </c>
      <c r="F13" s="9">
        <v>45658</v>
      </c>
      <c r="G13" s="9">
        <v>46022</v>
      </c>
    </row>
    <row r="14" spans="1:7" x14ac:dyDescent="0.4">
      <c r="A14" s="15">
        <v>12</v>
      </c>
      <c r="B14" s="12" t="s">
        <v>93</v>
      </c>
      <c r="C14" s="9" t="s">
        <v>70</v>
      </c>
      <c r="D14" s="9">
        <v>46023</v>
      </c>
      <c r="E14" s="9">
        <v>46112</v>
      </c>
      <c r="F14" s="9">
        <v>46023</v>
      </c>
      <c r="G14" s="9">
        <v>46112</v>
      </c>
    </row>
    <row r="15" spans="1:7" x14ac:dyDescent="0.4">
      <c r="A15" s="15">
        <v>13</v>
      </c>
      <c r="B15" s="12" t="s">
        <v>94</v>
      </c>
      <c r="C15" s="9" t="s">
        <v>70</v>
      </c>
      <c r="D15" s="9">
        <v>46054</v>
      </c>
      <c r="E15" s="9">
        <v>46173</v>
      </c>
      <c r="F15" s="9">
        <v>46054</v>
      </c>
      <c r="G15" s="9">
        <v>46173</v>
      </c>
    </row>
    <row r="16" spans="1:7" x14ac:dyDescent="0.4">
      <c r="A16" s="15">
        <v>14</v>
      </c>
      <c r="B16" s="12" t="s">
        <v>95</v>
      </c>
      <c r="C16" s="9" t="s">
        <v>70</v>
      </c>
      <c r="D16" s="9">
        <v>46023</v>
      </c>
      <c r="E16" s="9">
        <v>46173</v>
      </c>
      <c r="F16" s="9">
        <v>46023</v>
      </c>
      <c r="G16" s="9">
        <v>46173</v>
      </c>
    </row>
    <row r="17" spans="1:7" x14ac:dyDescent="0.4">
      <c r="A17" s="15">
        <v>15</v>
      </c>
      <c r="B17" s="14" t="s">
        <v>96</v>
      </c>
      <c r="C17" s="9" t="s">
        <v>70</v>
      </c>
      <c r="D17" s="9">
        <v>46113</v>
      </c>
      <c r="E17" s="9">
        <v>46203</v>
      </c>
      <c r="F17" s="9"/>
      <c r="G17" s="9"/>
    </row>
    <row r="18" spans="1:7" x14ac:dyDescent="0.4">
      <c r="A18" s="15" t="s">
        <v>71</v>
      </c>
      <c r="B18" s="14"/>
      <c r="C18" s="9"/>
      <c r="D18" s="9"/>
      <c r="E18" s="9"/>
      <c r="F18" s="9"/>
      <c r="G18" s="9"/>
    </row>
    <row r="19" spans="1:7" x14ac:dyDescent="0.4">
      <c r="A19" s="15"/>
      <c r="B19" s="14"/>
      <c r="C19" s="9"/>
      <c r="D19" s="9"/>
      <c r="E19" s="9"/>
      <c r="F19" s="9"/>
      <c r="G19" s="9"/>
    </row>
    <row r="20" spans="1:7" x14ac:dyDescent="0.4">
      <c r="A20" s="15" t="str">
        <f>IF(B20&lt;&gt;"",SUBTOTAL(3,$B$3:B20),"")</f>
        <v/>
      </c>
      <c r="B20" s="14"/>
      <c r="C20" s="9"/>
      <c r="D20" s="9"/>
      <c r="E20" s="9"/>
      <c r="F20" s="9"/>
      <c r="G20" s="9"/>
    </row>
    <row r="21" spans="1:7" x14ac:dyDescent="0.4">
      <c r="A21" s="15" t="str">
        <f>IF(B21&lt;&gt;"",SUBTOTAL(3,$B$3:B21),"")</f>
        <v/>
      </c>
      <c r="B21" s="14"/>
      <c r="C21" s="9"/>
      <c r="D21" s="9"/>
      <c r="E21" s="9"/>
      <c r="F21" s="9"/>
      <c r="G21" s="9"/>
    </row>
    <row r="22" spans="1:7" x14ac:dyDescent="0.4">
      <c r="A22" s="15" t="str">
        <f>IF(B22&lt;&gt;"",SUBTOTAL(3,$B$3:B22),"")</f>
        <v/>
      </c>
      <c r="B22" s="14"/>
      <c r="C22" s="9"/>
      <c r="D22" s="9"/>
      <c r="E22" s="9"/>
      <c r="F22" s="9"/>
      <c r="G22" s="9"/>
    </row>
    <row r="23" spans="1:7" x14ac:dyDescent="0.4">
      <c r="A23" s="15" t="str">
        <f>IF(B23&lt;&gt;"",SUBTOTAL(3,$B$3:B23),"")</f>
        <v/>
      </c>
      <c r="B23" s="14"/>
      <c r="C23" s="9"/>
      <c r="D23" s="9"/>
      <c r="E23" s="9"/>
      <c r="F23" s="9"/>
      <c r="G23" s="9"/>
    </row>
    <row r="24" spans="1:7" x14ac:dyDescent="0.4">
      <c r="A24" s="15" t="str">
        <f>IF(B24&lt;&gt;"",SUBTOTAL(3,$B$3:B24),"")</f>
        <v/>
      </c>
      <c r="B24" s="14"/>
      <c r="C24" s="9"/>
      <c r="D24" s="9"/>
      <c r="E24" s="9"/>
      <c r="F24" s="9"/>
      <c r="G24" s="9"/>
    </row>
    <row r="25" spans="1:7" x14ac:dyDescent="0.4">
      <c r="A25" s="15" t="str">
        <f>IF(B25&lt;&gt;"",SUBTOTAL(3,$B$3:B25),"")</f>
        <v/>
      </c>
      <c r="B25" s="14"/>
      <c r="C25" s="9"/>
      <c r="D25" s="9"/>
      <c r="E25" s="9"/>
      <c r="F25" s="9"/>
      <c r="G25" s="9"/>
    </row>
    <row r="26" spans="1:7" x14ac:dyDescent="0.4">
      <c r="A26" s="15" t="str">
        <f>IF(B26&lt;&gt;"",SUBTOTAL(3,$B$3:B26),"")</f>
        <v/>
      </c>
      <c r="B26" s="14"/>
      <c r="C26" s="9"/>
      <c r="D26" s="9"/>
      <c r="E26" s="9"/>
      <c r="F26" s="9"/>
      <c r="G26" s="9"/>
    </row>
    <row r="27" spans="1:7" x14ac:dyDescent="0.4">
      <c r="A27" s="15" t="str">
        <f>IF(B27&lt;&gt;"",SUBTOTAL(3,$B$3:B27),"")</f>
        <v/>
      </c>
      <c r="B27" s="14"/>
      <c r="C27" s="9"/>
      <c r="D27" s="9"/>
      <c r="E27" s="9"/>
      <c r="F27" s="9"/>
      <c r="G27" s="9"/>
    </row>
    <row r="28" spans="1:7" x14ac:dyDescent="0.4">
      <c r="A28" s="15" t="str">
        <f>IF(B28&lt;&gt;"",SUBTOTAL(3,$B$3:B28),"")</f>
        <v/>
      </c>
      <c r="B28" s="14"/>
      <c r="C28" s="9"/>
      <c r="D28" s="9"/>
      <c r="E28" s="9"/>
      <c r="F28" s="9"/>
      <c r="G28" s="9"/>
    </row>
    <row r="29" spans="1:7" x14ac:dyDescent="0.4">
      <c r="A29" s="15" t="str">
        <f>IF(B29&lt;&gt;"",SUBTOTAL(3,$B$3:B29),"")</f>
        <v/>
      </c>
      <c r="B29" s="14"/>
      <c r="C29" s="9"/>
      <c r="D29" s="9"/>
      <c r="E29" s="9"/>
      <c r="F29" s="9"/>
      <c r="G29" s="9"/>
    </row>
    <row r="30" spans="1:7" x14ac:dyDescent="0.4">
      <c r="A30" s="15" t="str">
        <f>IF(B30&lt;&gt;"",SUBTOTAL(3,$B$3:B30),"")</f>
        <v/>
      </c>
      <c r="B30" s="14"/>
      <c r="C30" s="9"/>
      <c r="D30" s="9"/>
      <c r="E30" s="9"/>
      <c r="F30" s="9"/>
      <c r="G30" s="9"/>
    </row>
    <row r="31" spans="1:7" x14ac:dyDescent="0.4">
      <c r="A31" s="15" t="str">
        <f>IF(B31&lt;&gt;"",SUBTOTAL(3,$B$3:B31),"")</f>
        <v/>
      </c>
      <c r="B31" s="14"/>
      <c r="C31" s="9"/>
      <c r="D31" s="9"/>
      <c r="E31" s="9"/>
      <c r="F31" s="9"/>
      <c r="G31" s="9"/>
    </row>
    <row r="32" spans="1:7" x14ac:dyDescent="0.4">
      <c r="A32" s="15" t="str">
        <f>IF(B32&lt;&gt;"",SUBTOTAL(3,$B$3:B32),"")</f>
        <v/>
      </c>
      <c r="B32" s="14"/>
      <c r="C32" s="9"/>
      <c r="D32" s="9"/>
      <c r="E32" s="9"/>
      <c r="F32" s="9"/>
      <c r="G32" s="9"/>
    </row>
    <row r="33" spans="1:7" x14ac:dyDescent="0.4">
      <c r="A33" s="15" t="str">
        <f>IF(B33&lt;&gt;"",SUBTOTAL(3,$B$3:B33),"")</f>
        <v/>
      </c>
      <c r="B33" s="14"/>
      <c r="C33" s="9"/>
      <c r="D33" s="9"/>
      <c r="E33" s="9"/>
      <c r="F33" s="9"/>
      <c r="G33" s="9"/>
    </row>
    <row r="34" spans="1:7" x14ac:dyDescent="0.4">
      <c r="A34" s="15" t="str">
        <f>IF(B34&lt;&gt;"",SUBTOTAL(3,$B$3:B34),"")</f>
        <v/>
      </c>
      <c r="B34" s="14"/>
      <c r="C34" s="9"/>
      <c r="D34" s="9"/>
      <c r="E34" s="9"/>
      <c r="F34" s="9"/>
      <c r="G34" s="9"/>
    </row>
    <row r="35" spans="1:7" x14ac:dyDescent="0.4">
      <c r="A35" s="15" t="str">
        <f>IF(B35&lt;&gt;"",SUBTOTAL(3,$B$3:B35),"")</f>
        <v/>
      </c>
      <c r="B35" s="14"/>
      <c r="C35" s="9"/>
      <c r="D35" s="9"/>
      <c r="E35" s="9"/>
      <c r="F35" s="9"/>
      <c r="G35" s="9"/>
    </row>
    <row r="36" spans="1:7" x14ac:dyDescent="0.4">
      <c r="A36" s="15" t="str">
        <f>IF(B36&lt;&gt;"",SUBTOTAL(3,$B$3:B36),"")</f>
        <v/>
      </c>
      <c r="B36" s="14"/>
      <c r="C36" s="9"/>
      <c r="D36" s="9"/>
      <c r="E36" s="9"/>
      <c r="F36" s="9"/>
      <c r="G36" s="9"/>
    </row>
    <row r="37" spans="1:7" x14ac:dyDescent="0.4">
      <c r="A37" s="15" t="str">
        <f>IF(B37&lt;&gt;"",SUBTOTAL(3,$B$3:B37),"")</f>
        <v/>
      </c>
      <c r="B37" s="14"/>
      <c r="D37" s="9"/>
      <c r="E37" s="9"/>
      <c r="F37" s="9"/>
      <c r="G37" s="9"/>
    </row>
    <row r="38" spans="1:7" x14ac:dyDescent="0.4">
      <c r="A38" s="15" t="str">
        <f>IF(B38&lt;&gt;"",SUBTOTAL(3,$B$3:B38),"")</f>
        <v/>
      </c>
      <c r="B38" s="14"/>
      <c r="D38" s="9"/>
      <c r="E38" s="9"/>
      <c r="F38" s="9"/>
      <c r="G38" s="9"/>
    </row>
    <row r="39" spans="1:7" x14ac:dyDescent="0.4">
      <c r="A39" s="15" t="str">
        <f>IF(B39&lt;&gt;"",SUBTOTAL(3,$B$3:B39),"")</f>
        <v/>
      </c>
      <c r="B39" s="14"/>
      <c r="D39" s="9"/>
      <c r="E39" s="9"/>
      <c r="F39" s="9"/>
      <c r="G39" s="9"/>
    </row>
    <row r="40" spans="1:7" x14ac:dyDescent="0.4">
      <c r="A40" s="15" t="str">
        <f>IF(B40&lt;&gt;"",SUBTOTAL(3,$B$3:B40),"")</f>
        <v/>
      </c>
      <c r="B40" s="14"/>
      <c r="D40" s="9"/>
      <c r="E40" s="9"/>
      <c r="F40" s="9"/>
      <c r="G40" s="9"/>
    </row>
    <row r="41" spans="1:7" x14ac:dyDescent="0.4">
      <c r="A41" s="15" t="str">
        <f>IF(B41&lt;&gt;"",SUBTOTAL(3,$B$3:B41),"")</f>
        <v/>
      </c>
      <c r="B41" s="14"/>
      <c r="D41" s="9"/>
      <c r="E41" s="9"/>
      <c r="F41" s="9"/>
      <c r="G41" s="9"/>
    </row>
    <row r="42" spans="1:7" x14ac:dyDescent="0.4">
      <c r="A42" s="15" t="str">
        <f>IF(B42&lt;&gt;"",SUBTOTAL(3,$B$3:B42),"")</f>
        <v/>
      </c>
      <c r="B42" s="14"/>
      <c r="D42" s="9"/>
      <c r="E42" s="9"/>
      <c r="F42" s="9"/>
      <c r="G42" s="9"/>
    </row>
    <row r="43" spans="1:7" x14ac:dyDescent="0.4">
      <c r="A43" s="15" t="str">
        <f>IF(B43&lt;&gt;"",SUBTOTAL(3,$B$3:B43),"")</f>
        <v/>
      </c>
      <c r="B43" s="14"/>
      <c r="D43" s="9"/>
      <c r="E43" s="9"/>
      <c r="F43" s="9"/>
      <c r="G43" s="9"/>
    </row>
    <row r="44" spans="1:7" x14ac:dyDescent="0.4">
      <c r="A44" s="15" t="str">
        <f>IF(B44&lt;&gt;"",SUBTOTAL(3,$B$3:B44),"")</f>
        <v/>
      </c>
      <c r="B44" s="14"/>
      <c r="D44" s="9"/>
      <c r="E44" s="9"/>
      <c r="F44" s="9"/>
      <c r="G44" s="9"/>
    </row>
    <row r="45" spans="1:7" x14ac:dyDescent="0.4">
      <c r="A45" s="15" t="str">
        <f>IF(B45&lt;&gt;"",SUBTOTAL(3,$B$3:B45),"")</f>
        <v/>
      </c>
      <c r="B45" s="14"/>
      <c r="D45" s="9"/>
      <c r="E45" s="9"/>
      <c r="F45" s="9"/>
      <c r="G45" s="9"/>
    </row>
    <row r="46" spans="1:7" x14ac:dyDescent="0.4">
      <c r="A46" s="15" t="str">
        <f>IF(B46&lt;&gt;"",SUBTOTAL(3,$B$3:B46),"")</f>
        <v/>
      </c>
      <c r="B46" s="14"/>
      <c r="D46" s="9"/>
      <c r="E46" s="9"/>
      <c r="F46" s="9"/>
      <c r="G46" s="9"/>
    </row>
    <row r="47" spans="1:7" x14ac:dyDescent="0.4">
      <c r="A47" s="15" t="str">
        <f>IF(B47&lt;&gt;"",SUBTOTAL(3,$B$3:B47),"")</f>
        <v/>
      </c>
      <c r="B47" s="14"/>
      <c r="D47" s="9"/>
      <c r="E47" s="9"/>
      <c r="F47" s="9"/>
      <c r="G47" s="9"/>
    </row>
    <row r="48" spans="1:7" x14ac:dyDescent="0.4">
      <c r="A48" s="15" t="str">
        <f>IF(B48&lt;&gt;"",SUBTOTAL(3,$B$3:B48),"")</f>
        <v/>
      </c>
      <c r="B48" s="14"/>
      <c r="D48" s="9"/>
      <c r="E48" s="9"/>
      <c r="F48" s="9"/>
      <c r="G48" s="9"/>
    </row>
    <row r="49" spans="1:7" x14ac:dyDescent="0.4">
      <c r="A49" s="15" t="str">
        <f>IF(B49&lt;&gt;"",SUBTOTAL(3,$B$3:B49),"")</f>
        <v/>
      </c>
      <c r="B49" s="14"/>
      <c r="D49" s="9"/>
      <c r="E49" s="9"/>
      <c r="F49" s="9"/>
      <c r="G49" s="9"/>
    </row>
    <row r="50" spans="1:7" x14ac:dyDescent="0.4">
      <c r="A50" s="15" t="str">
        <f>IF(B50&lt;&gt;"",SUBTOTAL(3,$B$3:B50),"")</f>
        <v/>
      </c>
      <c r="B50" s="14"/>
      <c r="D50" s="9"/>
      <c r="E50" s="9"/>
      <c r="F50" s="9"/>
      <c r="G50" s="9"/>
    </row>
  </sheetData>
  <mergeCells count="2">
    <mergeCell ref="D1:E1"/>
    <mergeCell ref="F1:G1"/>
  </mergeCells>
  <phoneticPr fontId="2" type="noConversion"/>
  <conditionalFormatting sqref="A3:G50">
    <cfRule type="expression" dxfId="12" priority="1">
      <formula>OR($C3="2단계 3연차", $C3="3단계 3연차")</formula>
    </cfRule>
    <cfRule type="expression" dxfId="11" priority="2">
      <formula>OR($C3="2단계 2연차", $C3="3단계 2연차")</formula>
    </cfRule>
    <cfRule type="expression" dxfId="10" priority="3">
      <formula>OR($C3="2단계 1연차", $C3="3단계 1연차")</formula>
    </cfRule>
    <cfRule type="expression" dxfId="9" priority="4">
      <formula>OR($C3="0단계 3연차", $C3="1단계 3연차")</formula>
    </cfRule>
    <cfRule type="expression" dxfId="8" priority="5">
      <formula>OR($C3="0단계 2연차", $C3="1단계 2연차")</formula>
    </cfRule>
    <cfRule type="expression" dxfId="7" priority="6">
      <formula>OR($C3="0단계 1연차", $C3="1단계 1연차")</formula>
    </cfRule>
  </conditionalFormatting>
  <pageMargins left="0.7" right="0.7" top="0.75" bottom="0.75" header="0.3" footer="0.3"/>
  <ignoredErrors>
    <ignoredError sqref="A20:A50" unlockedFormula="1"/>
  </ignoredError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4C0AB1B-468E-4B95-9E28-23CEE24A29DF}">
          <x14:formula1>
            <xm:f>개요!#REF!</xm:f>
          </x14:formula1>
          <xm:sqref>C3:C50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6D152-141A-4EE5-9AF0-6CF2B63B97BD}">
  <dimension ref="A1:M31"/>
  <sheetViews>
    <sheetView workbookViewId="0">
      <selection activeCell="B18" sqref="B18"/>
    </sheetView>
  </sheetViews>
  <sheetFormatPr defaultRowHeight="17.399999999999999" x14ac:dyDescent="0.4"/>
  <cols>
    <col min="1" max="1" width="54.59765625" style="20" bestFit="1" customWidth="1"/>
    <col min="2" max="16384" width="8.796875" style="20"/>
  </cols>
  <sheetData>
    <row r="1" spans="1:13" ht="17.399999999999999" customHeight="1" x14ac:dyDescent="0.4">
      <c r="A1" s="30" t="s">
        <v>8</v>
      </c>
      <c r="B1" s="30" t="s">
        <v>9</v>
      </c>
      <c r="C1" s="30" t="s">
        <v>10</v>
      </c>
      <c r="D1" s="30" t="s">
        <v>11</v>
      </c>
      <c r="E1" s="33" t="s">
        <v>17</v>
      </c>
      <c r="F1" s="34"/>
      <c r="G1" s="34"/>
      <c r="H1" s="33" t="s">
        <v>16</v>
      </c>
      <c r="I1" s="34"/>
      <c r="J1" s="34"/>
      <c r="K1" s="32" t="s">
        <v>13</v>
      </c>
      <c r="L1" s="32"/>
      <c r="M1" s="32"/>
    </row>
    <row r="2" spans="1:13" x14ac:dyDescent="0.4">
      <c r="A2" s="31"/>
      <c r="B2" s="31"/>
      <c r="C2" s="31"/>
      <c r="D2" s="31"/>
      <c r="E2" s="19" t="s">
        <v>68</v>
      </c>
      <c r="F2" s="19" t="s">
        <v>69</v>
      </c>
      <c r="G2" s="19" t="s">
        <v>70</v>
      </c>
      <c r="H2" s="19" t="s">
        <v>68</v>
      </c>
      <c r="I2" s="19" t="s">
        <v>69</v>
      </c>
      <c r="J2" s="19" t="s">
        <v>70</v>
      </c>
      <c r="K2" s="19" t="s">
        <v>68</v>
      </c>
      <c r="L2" s="19" t="s">
        <v>69</v>
      </c>
      <c r="M2" s="19" t="s">
        <v>70</v>
      </c>
    </row>
    <row r="3" spans="1:13" ht="21.6" x14ac:dyDescent="0.4">
      <c r="A3" s="21" t="s">
        <v>97</v>
      </c>
      <c r="B3" s="21" t="s">
        <v>98</v>
      </c>
      <c r="C3" s="21" t="s">
        <v>99</v>
      </c>
      <c r="D3" s="21">
        <v>32</v>
      </c>
      <c r="E3" s="21">
        <v>76</v>
      </c>
      <c r="F3" s="21">
        <v>78</v>
      </c>
      <c r="G3" s="21">
        <v>80</v>
      </c>
      <c r="H3" s="22" t="str" cm="1">
        <f t="array" ref="H3">IFERROR(IF(ISNUMBER(INDEX(정량지표상세!$C$2:$C$24, MATCH(1, (정량지표상세!$A$2:$A$24=$A3) * (정량지표상세!$B$2:$B$24=H$2), 0))),
    SUMIFS(정량지표상세!$C$2:$C$24, 정량지표상세!$A$2:$A$24, $A3, 정량지표상세!$B$2:$B$24, H$2),
    INDEX(정량지표상세!$C$2:$C$24, MATCH(1, (정량지표상세!$A$2:$A$24=$A3) * (정량지표상세!$B$2:$B$24=H$2), 0))),"")</f>
        <v/>
      </c>
      <c r="I3" s="22" t="str" cm="1">
        <f t="array" ref="I3">IFERROR(IF(ISNUMBER(INDEX(정량지표상세!$C$2:$C$24, MATCH(1, (정량지표상세!$A$2:$A$24=$A3) * (정량지표상세!$B$2:$B$24=I$2), 0))),
    SUMIFS(정량지표상세!$C$2:$C$24, 정량지표상세!$A$2:$A$24, $A3, 정량지표상세!$B$2:$B$24, I$2),
    INDEX(정량지표상세!$C$2:$C$24, MATCH(1, (정량지표상세!$A$2:$A$24=$A3) * (정량지표상세!$B$2:$B$24=I$2), 0))),"")</f>
        <v/>
      </c>
      <c r="J3" s="22" t="str" cm="1">
        <f t="array" ref="J3">IFERROR(IF(ISNUMBER(INDEX(정량지표상세!$C$2:$C$24, MATCH(1, (정량지표상세!$A$2:$A$24=$A3) * (정량지표상세!$B$2:$B$24=J$2), 0))),
    SUMIFS(정량지표상세!$C$2:$C$24, 정량지표상세!$A$2:$A$24, $A3, 정량지표상세!$B$2:$B$24, J$2),
    INDEX(정량지표상세!$C$2:$C$24, MATCH(1, (정량지표상세!$A$2:$A$24=$A3) * (정량지표상세!$B$2:$B$24=J$2), 0))),"")</f>
        <v/>
      </c>
      <c r="K3" s="23" t="str">
        <f t="shared" ref="K3:K13" si="0">IF(E3="","",
   IF(ISNUMBER(E3),
      IF(N(H3)/E3&gt;=1,"달성","미달성"),
      IF(E3=H3,"달성","미달성")
   )
)</f>
        <v>미달성</v>
      </c>
      <c r="L3" s="23" t="str">
        <f t="shared" ref="L3" si="1">IF(F3="","",
   IF(ISNUMBER(F3),
      IF(N(I3)/F3&gt;=1,"달성","미달성"),
      IF(F3=I3,"달성","미달성")
   )
)</f>
        <v>미달성</v>
      </c>
      <c r="M3" s="23" t="str">
        <f t="shared" ref="M3" si="2">IF(G3="","",
   IF(ISNUMBER(G3),
      IF(N(J3)/G3&gt;=1,"달성","미달성"),
      IF(G3=J3,"달성","미달성")
   )
)</f>
        <v>미달성</v>
      </c>
    </row>
    <row r="4" spans="1:13" ht="21.6" x14ac:dyDescent="0.4">
      <c r="A4" s="21" t="s">
        <v>100</v>
      </c>
      <c r="B4" s="21" t="s">
        <v>98</v>
      </c>
      <c r="C4" s="21" t="s">
        <v>99</v>
      </c>
      <c r="D4" s="21">
        <v>16</v>
      </c>
      <c r="E4" s="21">
        <v>75</v>
      </c>
      <c r="F4" s="21">
        <v>77</v>
      </c>
      <c r="G4" s="21">
        <v>80</v>
      </c>
      <c r="H4" s="22" t="str" cm="1">
        <f t="array" ref="H4">IFERROR(IF(ISNUMBER(INDEX(정량지표상세!$C$2:$C$24, MATCH(1, (정량지표상세!$A$2:$A$24=$A4) * (정량지표상세!$B$2:$B$24=H$2), 0))),
    SUMIFS(정량지표상세!$C$2:$C$24, 정량지표상세!$A$2:$A$24, $A4, 정량지표상세!$B$2:$B$24, H$2),
    INDEX(정량지표상세!$C$2:$C$24, MATCH(1, (정량지표상세!$A$2:$A$24=$A4) * (정량지표상세!$B$2:$B$24=H$2), 0))),"")</f>
        <v/>
      </c>
      <c r="I4" s="22" t="str" cm="1">
        <f t="array" ref="I4">IFERROR(IF(ISNUMBER(INDEX(정량지표상세!$C$2:$C$24, MATCH(1, (정량지표상세!$A$2:$A$24=$A4) * (정량지표상세!$B$2:$B$24=I$2), 0))),
    SUMIFS(정량지표상세!$C$2:$C$24, 정량지표상세!$A$2:$A$24, $A4, 정량지표상세!$B$2:$B$24, I$2),
    INDEX(정량지표상세!$C$2:$C$24, MATCH(1, (정량지표상세!$A$2:$A$24=$A4) * (정량지표상세!$B$2:$B$24=I$2), 0))),"")</f>
        <v/>
      </c>
      <c r="J4" s="22" t="str" cm="1">
        <f t="array" ref="J4">IFERROR(IF(ISNUMBER(INDEX(정량지표상세!$C$2:$C$24, MATCH(1, (정량지표상세!$A$2:$A$24=$A4) * (정량지표상세!$B$2:$B$24=J$2), 0))),
    SUMIFS(정량지표상세!$C$2:$C$24, 정량지표상세!$A$2:$A$24, $A4, 정량지표상세!$B$2:$B$24, J$2),
    INDEX(정량지표상세!$C$2:$C$24, MATCH(1, (정량지표상세!$A$2:$A$24=$A4) * (정량지표상세!$B$2:$B$24=J$2), 0))),"")</f>
        <v/>
      </c>
      <c r="K4" s="23" t="str">
        <f t="shared" ref="K4:K30" si="3">IF(E4="","",
   IF(ISNUMBER(E4),
      IF(N(H4)/E4&gt;=1,"달성","미달성"),
      IF(E4=H4,"달성","미달성")
   )
)</f>
        <v>미달성</v>
      </c>
      <c r="L4" s="23" t="str">
        <f t="shared" ref="L4:L30" si="4">IF(F4="","",
   IF(ISNUMBER(F4),
      IF(N(I4)/F4&gt;=1,"달성","미달성"),
      IF(F4=I4,"달성","미달성")
   )
)</f>
        <v>미달성</v>
      </c>
      <c r="M4" s="23" t="str">
        <f t="shared" ref="M4:M30" si="5">IF(G4="","",
   IF(ISNUMBER(G4),
      IF(N(J4)/G4&gt;=1,"달성","미달성"),
      IF(G4=J4,"달성","미달성")
   )
)</f>
        <v>미달성</v>
      </c>
    </row>
    <row r="5" spans="1:13" ht="21.6" x14ac:dyDescent="0.4">
      <c r="A5" s="21" t="s">
        <v>101</v>
      </c>
      <c r="B5" s="21" t="s">
        <v>98</v>
      </c>
      <c r="C5" s="21" t="s">
        <v>99</v>
      </c>
      <c r="D5" s="21">
        <v>16</v>
      </c>
      <c r="E5" s="21">
        <v>75</v>
      </c>
      <c r="F5" s="21">
        <v>77</v>
      </c>
      <c r="G5" s="21">
        <v>80</v>
      </c>
      <c r="H5" s="22" t="str" cm="1">
        <f t="array" ref="H5">IFERROR(IF(ISNUMBER(INDEX(정량지표상세!$C$2:$C$24, MATCH(1, (정량지표상세!$A$2:$A$24=$A5) * (정량지표상세!$B$2:$B$24=H$2), 0))),
    SUMIFS(정량지표상세!$C$2:$C$24, 정량지표상세!$A$2:$A$24, $A5, 정량지표상세!$B$2:$B$24, H$2),
    INDEX(정량지표상세!$C$2:$C$24, MATCH(1, (정량지표상세!$A$2:$A$24=$A5) * (정량지표상세!$B$2:$B$24=H$2), 0))),"")</f>
        <v/>
      </c>
      <c r="I5" s="22" t="str" cm="1">
        <f t="array" ref="I5">IFERROR(IF(ISNUMBER(INDEX(정량지표상세!$C$2:$C$24, MATCH(1, (정량지표상세!$A$2:$A$24=$A5) * (정량지표상세!$B$2:$B$24=I$2), 0))),
    SUMIFS(정량지표상세!$C$2:$C$24, 정량지표상세!$A$2:$A$24, $A5, 정량지표상세!$B$2:$B$24, I$2),
    INDEX(정량지표상세!$C$2:$C$24, MATCH(1, (정량지표상세!$A$2:$A$24=$A5) * (정량지표상세!$B$2:$B$24=I$2), 0))),"")</f>
        <v/>
      </c>
      <c r="J5" s="22" t="str" cm="1">
        <f t="array" ref="J5">IFERROR(IF(ISNUMBER(INDEX(정량지표상세!$C$2:$C$24, MATCH(1, (정량지표상세!$A$2:$A$24=$A5) * (정량지표상세!$B$2:$B$24=J$2), 0))),
    SUMIFS(정량지표상세!$C$2:$C$24, 정량지표상세!$A$2:$A$24, $A5, 정량지표상세!$B$2:$B$24, J$2),
    INDEX(정량지표상세!$C$2:$C$24, MATCH(1, (정량지표상세!$A$2:$A$24=$A5) * (정량지표상세!$B$2:$B$24=J$2), 0))),"")</f>
        <v/>
      </c>
      <c r="K5" s="23" t="str">
        <f t="shared" si="3"/>
        <v>미달성</v>
      </c>
      <c r="L5" s="23" t="str">
        <f t="shared" si="4"/>
        <v>미달성</v>
      </c>
      <c r="M5" s="23" t="str">
        <f t="shared" si="5"/>
        <v>미달성</v>
      </c>
    </row>
    <row r="6" spans="1:13" x14ac:dyDescent="0.4">
      <c r="A6" s="21" t="s">
        <v>102</v>
      </c>
      <c r="B6" s="21" t="s">
        <v>103</v>
      </c>
      <c r="C6" s="21" t="s">
        <v>104</v>
      </c>
      <c r="D6" s="21">
        <v>6</v>
      </c>
      <c r="E6" s="21"/>
      <c r="F6" s="21">
        <v>1</v>
      </c>
      <c r="G6" s="21"/>
      <c r="H6" s="22" t="str" cm="1">
        <f t="array" ref="H6">IFERROR(IF(ISNUMBER(INDEX(정량지표상세!$C$2:$C$24, MATCH(1, (정량지표상세!$A$2:$A$24=$A6) * (정량지표상세!$B$2:$B$24=H$2), 0))),
    SUMIFS(정량지표상세!$C$2:$C$24, 정량지표상세!$A$2:$A$24, $A6, 정량지표상세!$B$2:$B$24, H$2),
    INDEX(정량지표상세!$C$2:$C$24, MATCH(1, (정량지표상세!$A$2:$A$24=$A6) * (정량지표상세!$B$2:$B$24=H$2), 0))),"")</f>
        <v/>
      </c>
      <c r="I6" s="22" cm="1">
        <f t="array" ref="I6">IFERROR(IF(ISNUMBER(INDEX(정량지표상세!$C$2:$C$24, MATCH(1, (정량지표상세!$A$2:$A$24=$A6) * (정량지표상세!$B$2:$B$24=I$2), 0))),
    SUMIFS(정량지표상세!$C$2:$C$24, 정량지표상세!$A$2:$A$24, $A6, 정량지표상세!$B$2:$B$24, I$2),
    INDEX(정량지표상세!$C$2:$C$24, MATCH(1, (정량지표상세!$A$2:$A$24=$A6) * (정량지표상세!$B$2:$B$24=I$2), 0))),"")</f>
        <v>1</v>
      </c>
      <c r="J6" s="22" t="str" cm="1">
        <f t="array" ref="J6">IFERROR(IF(ISNUMBER(INDEX(정량지표상세!$C$2:$C$24, MATCH(1, (정량지표상세!$A$2:$A$24=$A6) * (정량지표상세!$B$2:$B$24=J$2), 0))),
    SUMIFS(정량지표상세!$C$2:$C$24, 정량지표상세!$A$2:$A$24, $A6, 정량지표상세!$B$2:$B$24, J$2),
    INDEX(정량지표상세!$C$2:$C$24, MATCH(1, (정량지표상세!$A$2:$A$24=$A6) * (정량지표상세!$B$2:$B$24=J$2), 0))),"")</f>
        <v/>
      </c>
      <c r="K6" s="23" t="str">
        <f t="shared" si="3"/>
        <v/>
      </c>
      <c r="L6" s="23" t="str">
        <f t="shared" si="4"/>
        <v>달성</v>
      </c>
      <c r="M6" s="23" t="str">
        <f t="shared" si="5"/>
        <v/>
      </c>
    </row>
    <row r="7" spans="1:13" x14ac:dyDescent="0.4">
      <c r="A7" s="21" t="s">
        <v>105</v>
      </c>
      <c r="B7" s="21" t="s">
        <v>103</v>
      </c>
      <c r="C7" s="21" t="s">
        <v>104</v>
      </c>
      <c r="D7" s="21">
        <v>10</v>
      </c>
      <c r="E7" s="21"/>
      <c r="F7" s="21">
        <v>1</v>
      </c>
      <c r="G7" s="21"/>
      <c r="H7" s="22" t="str" cm="1">
        <f t="array" ref="H7">IFERROR(IF(ISNUMBER(INDEX(정량지표상세!$C$2:$C$24, MATCH(1, (정량지표상세!$A$2:$A$24=$A7) * (정량지표상세!$B$2:$B$24=H$2), 0))),
    SUMIFS(정량지표상세!$C$2:$C$24, 정량지표상세!$A$2:$A$24, $A7, 정량지표상세!$B$2:$B$24, H$2),
    INDEX(정량지표상세!$C$2:$C$24, MATCH(1, (정량지표상세!$A$2:$A$24=$A7) * (정량지표상세!$B$2:$B$24=H$2), 0))),"")</f>
        <v/>
      </c>
      <c r="I7" s="22" cm="1">
        <f t="array" ref="I7">IFERROR(IF(ISNUMBER(INDEX(정량지표상세!$C$2:$C$24, MATCH(1, (정량지표상세!$A$2:$A$24=$A7) * (정량지표상세!$B$2:$B$24=I$2), 0))),
    SUMIFS(정량지표상세!$C$2:$C$24, 정량지표상세!$A$2:$A$24, $A7, 정량지표상세!$B$2:$B$24, I$2),
    INDEX(정량지표상세!$C$2:$C$24, MATCH(1, (정량지표상세!$A$2:$A$24=$A7) * (정량지표상세!$B$2:$B$24=I$2), 0))),"")</f>
        <v>1</v>
      </c>
      <c r="J7" s="22" t="str" cm="1">
        <f t="array" ref="J7">IFERROR(IF(ISNUMBER(INDEX(정량지표상세!$C$2:$C$24, MATCH(1, (정량지표상세!$A$2:$A$24=$A7) * (정량지표상세!$B$2:$B$24=J$2), 0))),
    SUMIFS(정량지표상세!$C$2:$C$24, 정량지표상세!$A$2:$A$24, $A7, 정량지표상세!$B$2:$B$24, J$2),
    INDEX(정량지표상세!$C$2:$C$24, MATCH(1, (정량지표상세!$A$2:$A$24=$A7) * (정량지표상세!$B$2:$B$24=J$2), 0))),"")</f>
        <v/>
      </c>
      <c r="K7" s="23" t="str">
        <f t="shared" si="3"/>
        <v/>
      </c>
      <c r="L7" s="23" t="str">
        <f t="shared" si="4"/>
        <v>달성</v>
      </c>
      <c r="M7" s="23" t="str">
        <f t="shared" si="5"/>
        <v/>
      </c>
    </row>
    <row r="8" spans="1:13" x14ac:dyDescent="0.4">
      <c r="A8" s="21" t="s">
        <v>106</v>
      </c>
      <c r="B8" s="21" t="s">
        <v>103</v>
      </c>
      <c r="C8" s="21" t="s">
        <v>104</v>
      </c>
      <c r="D8" s="21">
        <v>10</v>
      </c>
      <c r="E8" s="21"/>
      <c r="F8" s="21"/>
      <c r="G8" s="21">
        <v>1</v>
      </c>
      <c r="H8" s="22" t="str" cm="1">
        <f t="array" ref="H8">IFERROR(IF(ISNUMBER(INDEX(정량지표상세!$C$2:$C$24, MATCH(1, (정량지표상세!$A$2:$A$24=$A8) * (정량지표상세!$B$2:$B$24=H$2), 0))),
    SUMIFS(정량지표상세!$C$2:$C$24, 정량지표상세!$A$2:$A$24, $A8, 정량지표상세!$B$2:$B$24, H$2),
    INDEX(정량지표상세!$C$2:$C$24, MATCH(1, (정량지표상세!$A$2:$A$24=$A8) * (정량지표상세!$B$2:$B$24=H$2), 0))),"")</f>
        <v/>
      </c>
      <c r="I8" s="22" t="str" cm="1">
        <f t="array" ref="I8">IFERROR(IF(ISNUMBER(INDEX(정량지표상세!$C$2:$C$24, MATCH(1, (정량지표상세!$A$2:$A$24=$A8) * (정량지표상세!$B$2:$B$24=I$2), 0))),
    SUMIFS(정량지표상세!$C$2:$C$24, 정량지표상세!$A$2:$A$24, $A8, 정량지표상세!$B$2:$B$24, I$2),
    INDEX(정량지표상세!$C$2:$C$24, MATCH(1, (정량지표상세!$A$2:$A$24=$A8) * (정량지표상세!$B$2:$B$24=I$2), 0))),"")</f>
        <v/>
      </c>
      <c r="J8" s="22" cm="1">
        <f t="array" ref="J8">IFERROR(IF(ISNUMBER(INDEX(정량지표상세!$C$2:$C$24, MATCH(1, (정량지표상세!$A$2:$A$24=$A8) * (정량지표상세!$B$2:$B$24=J$2), 0))),
    SUMIFS(정량지표상세!$C$2:$C$24, 정량지표상세!$A$2:$A$24, $A8, 정량지표상세!$B$2:$B$24, J$2),
    INDEX(정량지표상세!$C$2:$C$24, MATCH(1, (정량지표상세!$A$2:$A$24=$A8) * (정량지표상세!$B$2:$B$24=J$2), 0))),"")</f>
        <v>1</v>
      </c>
      <c r="K8" s="23" t="str">
        <f t="shared" si="3"/>
        <v/>
      </c>
      <c r="L8" s="23" t="str">
        <f t="shared" si="4"/>
        <v/>
      </c>
      <c r="M8" s="23" t="str">
        <f t="shared" si="5"/>
        <v>달성</v>
      </c>
    </row>
    <row r="9" spans="1:13" x14ac:dyDescent="0.4">
      <c r="A9" s="21" t="s">
        <v>107</v>
      </c>
      <c r="B9" s="21" t="s">
        <v>108</v>
      </c>
      <c r="C9" s="21" t="s">
        <v>104</v>
      </c>
      <c r="D9" s="21">
        <v>10</v>
      </c>
      <c r="E9" s="21"/>
      <c r="F9" s="21"/>
      <c r="G9" s="21">
        <v>1</v>
      </c>
      <c r="H9" s="22" t="str" cm="1">
        <f t="array" ref="H9">IFERROR(IF(ISNUMBER(INDEX(정량지표상세!$C$2:$C$24, MATCH(1, (정량지표상세!$A$2:$A$24=$A9) * (정량지표상세!$B$2:$B$24=H$2), 0))),
    SUMIFS(정량지표상세!$C$2:$C$24, 정량지표상세!$A$2:$A$24, $A9, 정량지표상세!$B$2:$B$24, H$2),
    INDEX(정량지표상세!$C$2:$C$24, MATCH(1, (정량지표상세!$A$2:$A$24=$A9) * (정량지표상세!$B$2:$B$24=H$2), 0))),"")</f>
        <v/>
      </c>
      <c r="I9" s="22" t="str" cm="1">
        <f t="array" ref="I9">IFERROR(IF(ISNUMBER(INDEX(정량지표상세!$C$2:$C$24, MATCH(1, (정량지표상세!$A$2:$A$24=$A9) * (정량지표상세!$B$2:$B$24=I$2), 0))),
    SUMIFS(정량지표상세!$C$2:$C$24, 정량지표상세!$A$2:$A$24, $A9, 정량지표상세!$B$2:$B$24, I$2),
    INDEX(정량지표상세!$C$2:$C$24, MATCH(1, (정량지표상세!$A$2:$A$24=$A9) * (정량지표상세!$B$2:$B$24=I$2), 0))),"")</f>
        <v/>
      </c>
      <c r="J9" s="22" t="str" cm="1">
        <f t="array" ref="J9">IFERROR(IF(ISNUMBER(INDEX(정량지표상세!$C$2:$C$24, MATCH(1, (정량지표상세!$A$2:$A$24=$A9) * (정량지표상세!$B$2:$B$24=J$2), 0))),
    SUMIFS(정량지표상세!$C$2:$C$24, 정량지표상세!$A$2:$A$24, $A9, 정량지표상세!$B$2:$B$24, J$2),
    INDEX(정량지표상세!$C$2:$C$24, MATCH(1, (정량지표상세!$A$2:$A$24=$A9) * (정량지표상세!$B$2:$B$24=J$2), 0))),"")</f>
        <v/>
      </c>
      <c r="K9" s="23" t="str">
        <f t="shared" si="3"/>
        <v/>
      </c>
      <c r="L9" s="23" t="str">
        <f t="shared" si="4"/>
        <v/>
      </c>
      <c r="M9" s="23" t="str">
        <f t="shared" si="5"/>
        <v>미달성</v>
      </c>
    </row>
    <row r="10" spans="1:13" x14ac:dyDescent="0.4">
      <c r="A10" s="21" t="s">
        <v>109</v>
      </c>
      <c r="B10" s="21"/>
      <c r="C10" s="21" t="s">
        <v>20</v>
      </c>
      <c r="D10" s="21"/>
      <c r="E10" s="21">
        <v>2</v>
      </c>
      <c r="F10" s="21">
        <v>1</v>
      </c>
      <c r="G10" s="21"/>
      <c r="H10" s="22" cm="1">
        <f t="array" ref="H10">IFERROR(IF(ISNUMBER(INDEX(정량지표상세!$C$2:$C$24, MATCH(1, (정량지표상세!$A$2:$A$24=$A10) * (정량지표상세!$B$2:$B$24=H$2), 0))),
    SUMIFS(정량지표상세!$C$2:$C$24, 정량지표상세!$A$2:$A$24, $A10, 정량지표상세!$B$2:$B$24, H$2),
    INDEX(정량지표상세!$C$2:$C$24, MATCH(1, (정량지표상세!$A$2:$A$24=$A10) * (정량지표상세!$B$2:$B$24=H$2), 0))),"")</f>
        <v>2</v>
      </c>
      <c r="I10" s="22" cm="1">
        <f t="array" ref="I10">IFERROR(IF(ISNUMBER(INDEX(정량지표상세!$C$2:$C$24, MATCH(1, (정량지표상세!$A$2:$A$24=$A10) * (정량지표상세!$B$2:$B$24=I$2), 0))),
    SUMIFS(정량지표상세!$C$2:$C$24, 정량지표상세!$A$2:$A$24, $A10, 정량지표상세!$B$2:$B$24, I$2),
    INDEX(정량지표상세!$C$2:$C$24, MATCH(1, (정량지표상세!$A$2:$A$24=$A10) * (정량지표상세!$B$2:$B$24=I$2), 0))),"")</f>
        <v>1</v>
      </c>
      <c r="J10" s="22" t="str" cm="1">
        <f t="array" ref="J10">IFERROR(IF(ISNUMBER(INDEX(정량지표상세!$C$2:$C$24, MATCH(1, (정량지표상세!$A$2:$A$24=$A10) * (정량지표상세!$B$2:$B$24=J$2), 0))),
    SUMIFS(정량지표상세!$C$2:$C$24, 정량지표상세!$A$2:$A$24, $A10, 정량지표상세!$B$2:$B$24, J$2),
    INDEX(정량지표상세!$C$2:$C$24, MATCH(1, (정량지표상세!$A$2:$A$24=$A10) * (정량지표상세!$B$2:$B$24=J$2), 0))),"")</f>
        <v/>
      </c>
      <c r="K10" s="23" t="str">
        <f t="shared" si="3"/>
        <v>달성</v>
      </c>
      <c r="L10" s="23" t="str">
        <f t="shared" si="4"/>
        <v>달성</v>
      </c>
      <c r="M10" s="23" t="str">
        <f t="shared" si="5"/>
        <v/>
      </c>
    </row>
    <row r="11" spans="1:13" x14ac:dyDescent="0.4">
      <c r="A11" s="21" t="s">
        <v>110</v>
      </c>
      <c r="B11" s="21"/>
      <c r="C11" s="21" t="s">
        <v>111</v>
      </c>
      <c r="D11" s="21"/>
      <c r="E11" s="21"/>
      <c r="F11" s="21">
        <v>580</v>
      </c>
      <c r="G11" s="21">
        <v>600</v>
      </c>
      <c r="H11" s="22" t="str" cm="1">
        <f t="array" ref="H11">IFERROR(IF(ISNUMBER(INDEX(정량지표상세!$C$2:$C$24, MATCH(1, (정량지표상세!$A$2:$A$24=$A11) * (정량지표상세!$B$2:$B$24=H$2), 0))),
    SUMIFS(정량지표상세!$C$2:$C$24, 정량지표상세!$A$2:$A$24, $A11, 정량지표상세!$B$2:$B$24, H$2),
    INDEX(정량지표상세!$C$2:$C$24, MATCH(1, (정량지표상세!$A$2:$A$24=$A11) * (정량지표상세!$B$2:$B$24=H$2), 0))),"")</f>
        <v/>
      </c>
      <c r="I11" s="22" cm="1">
        <f t="array" ref="I11">IFERROR(IF(ISNUMBER(INDEX(정량지표상세!$C$2:$C$24, MATCH(1, (정량지표상세!$A$2:$A$24=$A11) * (정량지표상세!$B$2:$B$24=I$2), 0))),
    SUMIFS(정량지표상세!$C$2:$C$24, 정량지표상세!$A$2:$A$24, $A11, 정량지표상세!$B$2:$B$24, I$2),
    INDEX(정량지표상세!$C$2:$C$24, MATCH(1, (정량지표상세!$A$2:$A$24=$A11) * (정량지표상세!$B$2:$B$24=I$2), 0))),"")</f>
        <v>370</v>
      </c>
      <c r="J11" s="22" t="str" cm="1">
        <f t="array" ref="J11">IFERROR(IF(ISNUMBER(INDEX(정량지표상세!$C$2:$C$24, MATCH(1, (정량지표상세!$A$2:$A$24=$A11) * (정량지표상세!$B$2:$B$24=J$2), 0))),
    SUMIFS(정량지표상세!$C$2:$C$24, 정량지표상세!$A$2:$A$24, $A11, 정량지표상세!$B$2:$B$24, J$2),
    INDEX(정량지표상세!$C$2:$C$24, MATCH(1, (정량지표상세!$A$2:$A$24=$A11) * (정량지표상세!$B$2:$B$24=J$2), 0))),"")</f>
        <v/>
      </c>
      <c r="K11" s="23" t="str">
        <f t="shared" si="3"/>
        <v/>
      </c>
      <c r="L11" s="23" t="str">
        <f t="shared" si="4"/>
        <v>미달성</v>
      </c>
      <c r="M11" s="23" t="str">
        <f t="shared" si="5"/>
        <v>미달성</v>
      </c>
    </row>
    <row r="12" spans="1:13" x14ac:dyDescent="0.4">
      <c r="A12" s="21" t="s">
        <v>112</v>
      </c>
      <c r="B12" s="21"/>
      <c r="C12" s="21" t="s">
        <v>111</v>
      </c>
      <c r="D12" s="21"/>
      <c r="E12" s="21"/>
      <c r="F12" s="21">
        <v>1010</v>
      </c>
      <c r="G12" s="21">
        <v>5000</v>
      </c>
      <c r="H12" s="22" t="str" cm="1">
        <f t="array" ref="H12">IFERROR(IF(ISNUMBER(INDEX(정량지표상세!$C$2:$C$24, MATCH(1, (정량지표상세!$A$2:$A$24=$A12) * (정량지표상세!$B$2:$B$24=H$2), 0))),
    SUMIFS(정량지표상세!$C$2:$C$24, 정량지표상세!$A$2:$A$24, $A12, 정량지표상세!$B$2:$B$24, H$2),
    INDEX(정량지표상세!$C$2:$C$24, MATCH(1, (정량지표상세!$A$2:$A$24=$A12) * (정량지표상세!$B$2:$B$24=H$2), 0))),"")</f>
        <v/>
      </c>
      <c r="I12" s="22" t="str" cm="1">
        <f t="array" ref="I12">IFERROR(IF(ISNUMBER(INDEX(정량지표상세!$C$2:$C$24, MATCH(1, (정량지표상세!$A$2:$A$24=$A12) * (정량지표상세!$B$2:$B$24=I$2), 0))),
    SUMIFS(정량지표상세!$C$2:$C$24, 정량지표상세!$A$2:$A$24, $A12, 정량지표상세!$B$2:$B$24, I$2),
    INDEX(정량지표상세!$C$2:$C$24, MATCH(1, (정량지표상세!$A$2:$A$24=$A12) * (정량지표상세!$B$2:$B$24=I$2), 0))),"")</f>
        <v/>
      </c>
      <c r="J12" s="22" t="str" cm="1">
        <f t="array" ref="J12">IFERROR(IF(ISNUMBER(INDEX(정량지표상세!$C$2:$C$24, MATCH(1, (정량지표상세!$A$2:$A$24=$A12) * (정량지표상세!$B$2:$B$24=J$2), 0))),
    SUMIFS(정량지표상세!$C$2:$C$24, 정량지표상세!$A$2:$A$24, $A12, 정량지표상세!$B$2:$B$24, J$2),
    INDEX(정량지표상세!$C$2:$C$24, MATCH(1, (정량지표상세!$A$2:$A$24=$A12) * (정량지표상세!$B$2:$B$24=J$2), 0))),"")</f>
        <v/>
      </c>
      <c r="K12" s="23" t="str">
        <f t="shared" si="3"/>
        <v/>
      </c>
      <c r="L12" s="23" t="str">
        <f t="shared" si="4"/>
        <v>미달성</v>
      </c>
      <c r="M12" s="23" t="str">
        <f t="shared" si="5"/>
        <v>미달성</v>
      </c>
    </row>
    <row r="13" spans="1:13" x14ac:dyDescent="0.4">
      <c r="A13" s="21" t="s">
        <v>113</v>
      </c>
      <c r="B13" s="21"/>
      <c r="C13" s="21" t="s">
        <v>104</v>
      </c>
      <c r="D13" s="21"/>
      <c r="E13" s="21"/>
      <c r="F13" s="21">
        <v>2</v>
      </c>
      <c r="G13" s="21">
        <v>3</v>
      </c>
      <c r="H13" s="22" t="str" cm="1">
        <f t="array" ref="H13">IFERROR(IF(ISNUMBER(INDEX(정량지표상세!$C$2:$C$24, MATCH(1, (정량지표상세!$A$2:$A$24=$A13) * (정량지표상세!$B$2:$B$24=H$2), 0))),
    SUMIFS(정량지표상세!$C$2:$C$24, 정량지표상세!$A$2:$A$24, $A13, 정량지표상세!$B$2:$B$24, H$2),
    INDEX(정량지표상세!$C$2:$C$24, MATCH(1, (정량지표상세!$A$2:$A$24=$A13) * (정량지표상세!$B$2:$B$24=H$2), 0))),"")</f>
        <v/>
      </c>
      <c r="I13" s="22" t="str" cm="1">
        <f t="array" ref="I13">IFERROR(IF(ISNUMBER(INDEX(정량지표상세!$C$2:$C$24, MATCH(1, (정량지표상세!$A$2:$A$24=$A13) * (정량지표상세!$B$2:$B$24=I$2), 0))),
    SUMIFS(정량지표상세!$C$2:$C$24, 정량지표상세!$A$2:$A$24, $A13, 정량지표상세!$B$2:$B$24, I$2),
    INDEX(정량지표상세!$C$2:$C$24, MATCH(1, (정량지표상세!$A$2:$A$24=$A13) * (정량지표상세!$B$2:$B$24=I$2), 0))),"")</f>
        <v/>
      </c>
      <c r="J13" s="22" t="str" cm="1">
        <f t="array" ref="J13">IFERROR(IF(ISNUMBER(INDEX(정량지표상세!$C$2:$C$24, MATCH(1, (정량지표상세!$A$2:$A$24=$A13) * (정량지표상세!$B$2:$B$24=J$2), 0))),
    SUMIFS(정량지표상세!$C$2:$C$24, 정량지표상세!$A$2:$A$24, $A13, 정량지표상세!$B$2:$B$24, J$2),
    INDEX(정량지표상세!$C$2:$C$24, MATCH(1, (정량지표상세!$A$2:$A$24=$A13) * (정량지표상세!$B$2:$B$24=J$2), 0))),"")</f>
        <v/>
      </c>
      <c r="K13" s="23" t="str">
        <f t="shared" si="3"/>
        <v/>
      </c>
      <c r="L13" s="23" t="str">
        <f t="shared" si="4"/>
        <v>미달성</v>
      </c>
      <c r="M13" s="23" t="str">
        <f t="shared" si="5"/>
        <v>미달성</v>
      </c>
    </row>
    <row r="14" spans="1:13" x14ac:dyDescent="0.4">
      <c r="A14" s="21"/>
      <c r="B14" s="21"/>
      <c r="C14" s="21"/>
      <c r="D14" s="21"/>
      <c r="E14" s="21"/>
      <c r="F14" s="21"/>
      <c r="G14" s="21"/>
      <c r="H14" s="22" t="str" cm="1">
        <f t="array" ref="H14">IFERROR(IF(ISNUMBER(INDEX(정량지표상세!$C$2:$C$24, MATCH(1, (정량지표상세!$A$2:$A$24=$A14) * (정량지표상세!$B$2:$B$24=H$2), 0))),
    SUMIFS(정량지표상세!$C$2:$C$24, 정량지표상세!$A$2:$A$24, $A14, 정량지표상세!$B$2:$B$24, H$2),
    INDEX(정량지표상세!$C$2:$C$24, MATCH(1, (정량지표상세!$A$2:$A$24=$A14) * (정량지표상세!$B$2:$B$24=H$2), 0))),"")</f>
        <v/>
      </c>
      <c r="I14" s="22" t="str" cm="1">
        <f t="array" ref="I14">IFERROR(IF(ISNUMBER(INDEX(정량지표상세!$C$2:$C$24, MATCH(1, (정량지표상세!$A$2:$A$24=$A14) * (정량지표상세!$B$2:$B$24=I$2), 0))),
    SUMIFS(정량지표상세!$C$2:$C$24, 정량지표상세!$A$2:$A$24, $A14, 정량지표상세!$B$2:$B$24, I$2),
    INDEX(정량지표상세!$C$2:$C$24, MATCH(1, (정량지표상세!$A$2:$A$24=$A14) * (정량지표상세!$B$2:$B$24=I$2), 0))),"")</f>
        <v/>
      </c>
      <c r="J14" s="22" t="str" cm="1">
        <f t="array" ref="J14">IFERROR(IF(ISNUMBER(INDEX(정량지표상세!$C$2:$C$24, MATCH(1, (정량지표상세!$A$2:$A$24=$A14) * (정량지표상세!$B$2:$B$24=J$2), 0))),
    SUMIFS(정량지표상세!$C$2:$C$24, 정량지표상세!$A$2:$A$24, $A14, 정량지표상세!$B$2:$B$24, J$2),
    INDEX(정량지표상세!$C$2:$C$24, MATCH(1, (정량지표상세!$A$2:$A$24=$A14) * (정량지표상세!$B$2:$B$24=J$2), 0))),"")</f>
        <v/>
      </c>
      <c r="K14" s="23" t="str">
        <f t="shared" si="3"/>
        <v/>
      </c>
      <c r="L14" s="23" t="str">
        <f t="shared" si="4"/>
        <v/>
      </c>
      <c r="M14" s="23" t="str">
        <f t="shared" si="5"/>
        <v/>
      </c>
    </row>
    <row r="15" spans="1:13" x14ac:dyDescent="0.4">
      <c r="A15" s="21"/>
      <c r="B15" s="21"/>
      <c r="C15" s="21"/>
      <c r="D15" s="21"/>
      <c r="E15" s="21"/>
      <c r="F15" s="21"/>
      <c r="G15" s="21"/>
      <c r="H15" s="22" t="str" cm="1">
        <f t="array" ref="H15">IFERROR(IF(ISNUMBER(INDEX(정량지표상세!$C$2:$C$24, MATCH(1, (정량지표상세!$A$2:$A$24=$A15) * (정량지표상세!$B$2:$B$24=H$2), 0))),
    SUMIFS(정량지표상세!$C$2:$C$24, 정량지표상세!$A$2:$A$24, $A15, 정량지표상세!$B$2:$B$24, H$2),
    INDEX(정량지표상세!$C$2:$C$24, MATCH(1, (정량지표상세!$A$2:$A$24=$A15) * (정량지표상세!$B$2:$B$24=H$2), 0))),"")</f>
        <v/>
      </c>
      <c r="I15" s="22" t="str" cm="1">
        <f t="array" ref="I15">IFERROR(IF(ISNUMBER(INDEX(정량지표상세!$C$2:$C$24, MATCH(1, (정량지표상세!$A$2:$A$24=$A15) * (정량지표상세!$B$2:$B$24=I$2), 0))),
    SUMIFS(정량지표상세!$C$2:$C$24, 정량지표상세!$A$2:$A$24, $A15, 정량지표상세!$B$2:$B$24, I$2),
    INDEX(정량지표상세!$C$2:$C$24, MATCH(1, (정량지표상세!$A$2:$A$24=$A15) * (정량지표상세!$B$2:$B$24=I$2), 0))),"")</f>
        <v/>
      </c>
      <c r="J15" s="22" t="str" cm="1">
        <f t="array" ref="J15">IFERROR(IF(ISNUMBER(INDEX(정량지표상세!$C$2:$C$24, MATCH(1, (정량지표상세!$A$2:$A$24=$A15) * (정량지표상세!$B$2:$B$24=J$2), 0))),
    SUMIFS(정량지표상세!$C$2:$C$24, 정량지표상세!$A$2:$A$24, $A15, 정량지표상세!$B$2:$B$24, J$2),
    INDEX(정량지표상세!$C$2:$C$24, MATCH(1, (정량지표상세!$A$2:$A$24=$A15) * (정량지표상세!$B$2:$B$24=J$2), 0))),"")</f>
        <v/>
      </c>
      <c r="K15" s="23" t="str">
        <f t="shared" si="3"/>
        <v/>
      </c>
      <c r="L15" s="23" t="str">
        <f t="shared" si="4"/>
        <v/>
      </c>
      <c r="M15" s="23" t="str">
        <f t="shared" si="5"/>
        <v/>
      </c>
    </row>
    <row r="16" spans="1:13" x14ac:dyDescent="0.4">
      <c r="A16" s="21"/>
      <c r="B16" s="21"/>
      <c r="C16" s="21"/>
      <c r="D16" s="21"/>
      <c r="E16" s="21"/>
      <c r="F16" s="21"/>
      <c r="G16" s="21"/>
      <c r="H16" s="22" t="str" cm="1">
        <f t="array" ref="H16">IFERROR(IF(ISNUMBER(INDEX(정량지표상세!$C$2:$C$24, MATCH(1, (정량지표상세!$A$2:$A$24=$A16) * (정량지표상세!$B$2:$B$24=H$2), 0))),
    SUMIFS(정량지표상세!$C$2:$C$24, 정량지표상세!$A$2:$A$24, $A16, 정량지표상세!$B$2:$B$24, H$2),
    INDEX(정량지표상세!$C$2:$C$24, MATCH(1, (정량지표상세!$A$2:$A$24=$A16) * (정량지표상세!$B$2:$B$24=H$2), 0))),"")</f>
        <v/>
      </c>
      <c r="I16" s="22" t="str" cm="1">
        <f t="array" ref="I16">IFERROR(IF(ISNUMBER(INDEX(정량지표상세!$C$2:$C$24, MATCH(1, (정량지표상세!$A$2:$A$24=$A16) * (정량지표상세!$B$2:$B$24=I$2), 0))),
    SUMIFS(정량지표상세!$C$2:$C$24, 정량지표상세!$A$2:$A$24, $A16, 정량지표상세!$B$2:$B$24, I$2),
    INDEX(정량지표상세!$C$2:$C$24, MATCH(1, (정량지표상세!$A$2:$A$24=$A16) * (정량지표상세!$B$2:$B$24=I$2), 0))),"")</f>
        <v/>
      </c>
      <c r="J16" s="22" t="str" cm="1">
        <f t="array" ref="J16">IFERROR(IF(ISNUMBER(INDEX(정량지표상세!$C$2:$C$24, MATCH(1, (정량지표상세!$A$2:$A$24=$A16) * (정량지표상세!$B$2:$B$24=J$2), 0))),
    SUMIFS(정량지표상세!$C$2:$C$24, 정량지표상세!$A$2:$A$24, $A16, 정량지표상세!$B$2:$B$24, J$2),
    INDEX(정량지표상세!$C$2:$C$24, MATCH(1, (정량지표상세!$A$2:$A$24=$A16) * (정량지표상세!$B$2:$B$24=J$2), 0))),"")</f>
        <v/>
      </c>
      <c r="K16" s="23" t="str">
        <f t="shared" si="3"/>
        <v/>
      </c>
      <c r="L16" s="23" t="str">
        <f t="shared" si="4"/>
        <v/>
      </c>
      <c r="M16" s="23" t="str">
        <f t="shared" si="5"/>
        <v/>
      </c>
    </row>
    <row r="17" spans="1:13" x14ac:dyDescent="0.4">
      <c r="A17" s="21"/>
      <c r="B17" s="21"/>
      <c r="C17" s="21"/>
      <c r="D17" s="21"/>
      <c r="E17" s="21"/>
      <c r="F17" s="21"/>
      <c r="G17" s="21"/>
      <c r="H17" s="22" t="str" cm="1">
        <f t="array" ref="H17">IFERROR(IF(ISNUMBER(INDEX(정량지표상세!$C$2:$C$24, MATCH(1, (정량지표상세!$A$2:$A$24=$A17) * (정량지표상세!$B$2:$B$24=H$2), 0))),
    SUMIFS(정량지표상세!$C$2:$C$24, 정량지표상세!$A$2:$A$24, $A17, 정량지표상세!$B$2:$B$24, H$2),
    INDEX(정량지표상세!$C$2:$C$24, MATCH(1, (정량지표상세!$A$2:$A$24=$A17) * (정량지표상세!$B$2:$B$24=H$2), 0))),"")</f>
        <v/>
      </c>
      <c r="I17" s="22" t="str" cm="1">
        <f t="array" ref="I17">IFERROR(IF(ISNUMBER(INDEX(정량지표상세!$C$2:$C$24, MATCH(1, (정량지표상세!$A$2:$A$24=$A17) * (정량지표상세!$B$2:$B$24=I$2), 0))),
    SUMIFS(정량지표상세!$C$2:$C$24, 정량지표상세!$A$2:$A$24, $A17, 정량지표상세!$B$2:$B$24, I$2),
    INDEX(정량지표상세!$C$2:$C$24, MATCH(1, (정량지표상세!$A$2:$A$24=$A17) * (정량지표상세!$B$2:$B$24=I$2), 0))),"")</f>
        <v/>
      </c>
      <c r="J17" s="22" t="str" cm="1">
        <f t="array" ref="J17">IFERROR(IF(ISNUMBER(INDEX(정량지표상세!$C$2:$C$24, MATCH(1, (정량지표상세!$A$2:$A$24=$A17) * (정량지표상세!$B$2:$B$24=J$2), 0))),
    SUMIFS(정량지표상세!$C$2:$C$24, 정량지표상세!$A$2:$A$24, $A17, 정량지표상세!$B$2:$B$24, J$2),
    INDEX(정량지표상세!$C$2:$C$24, MATCH(1, (정량지표상세!$A$2:$A$24=$A17) * (정량지표상세!$B$2:$B$24=J$2), 0))),"")</f>
        <v/>
      </c>
      <c r="K17" s="23" t="str">
        <f t="shared" si="3"/>
        <v/>
      </c>
      <c r="L17" s="23" t="str">
        <f t="shared" si="4"/>
        <v/>
      </c>
      <c r="M17" s="23" t="str">
        <f t="shared" si="5"/>
        <v/>
      </c>
    </row>
    <row r="18" spans="1:13" x14ac:dyDescent="0.4">
      <c r="A18" s="21"/>
      <c r="B18" s="21"/>
      <c r="C18" s="21"/>
      <c r="D18" s="21"/>
      <c r="E18" s="21"/>
      <c r="F18" s="21"/>
      <c r="G18" s="21"/>
      <c r="H18" s="22" t="str" cm="1">
        <f t="array" ref="H18">IFERROR(IF(ISNUMBER(INDEX(정량지표상세!$C$2:$C$24, MATCH(1, (정량지표상세!$A$2:$A$24=$A18) * (정량지표상세!$B$2:$B$24=H$2), 0))),
    SUMIFS(정량지표상세!$C$2:$C$24, 정량지표상세!$A$2:$A$24, $A18, 정량지표상세!$B$2:$B$24, H$2),
    INDEX(정량지표상세!$C$2:$C$24, MATCH(1, (정량지표상세!$A$2:$A$24=$A18) * (정량지표상세!$B$2:$B$24=H$2), 0))),"")</f>
        <v/>
      </c>
      <c r="I18" s="22" t="str" cm="1">
        <f t="array" ref="I18">IFERROR(IF(ISNUMBER(INDEX(정량지표상세!$C$2:$C$24, MATCH(1, (정량지표상세!$A$2:$A$24=$A18) * (정량지표상세!$B$2:$B$24=I$2), 0))),
    SUMIFS(정량지표상세!$C$2:$C$24, 정량지표상세!$A$2:$A$24, $A18, 정량지표상세!$B$2:$B$24, I$2),
    INDEX(정량지표상세!$C$2:$C$24, MATCH(1, (정량지표상세!$A$2:$A$24=$A18) * (정량지표상세!$B$2:$B$24=I$2), 0))),"")</f>
        <v/>
      </c>
      <c r="J18" s="22" t="str" cm="1">
        <f t="array" ref="J18">IFERROR(IF(ISNUMBER(INDEX(정량지표상세!$C$2:$C$24, MATCH(1, (정량지표상세!$A$2:$A$24=$A18) * (정량지표상세!$B$2:$B$24=J$2), 0))),
    SUMIFS(정량지표상세!$C$2:$C$24, 정량지표상세!$A$2:$A$24, $A18, 정량지표상세!$B$2:$B$24, J$2),
    INDEX(정량지표상세!$C$2:$C$24, MATCH(1, (정량지표상세!$A$2:$A$24=$A18) * (정량지표상세!$B$2:$B$24=J$2), 0))),"")</f>
        <v/>
      </c>
      <c r="K18" s="23" t="str">
        <f t="shared" si="3"/>
        <v/>
      </c>
      <c r="L18" s="23" t="str">
        <f t="shared" si="4"/>
        <v/>
      </c>
      <c r="M18" s="23" t="str">
        <f t="shared" si="5"/>
        <v/>
      </c>
    </row>
    <row r="19" spans="1:13" x14ac:dyDescent="0.4">
      <c r="A19" s="21"/>
      <c r="B19" s="21"/>
      <c r="C19" s="21"/>
      <c r="D19" s="21"/>
      <c r="E19" s="21"/>
      <c r="F19" s="21"/>
      <c r="G19" s="21"/>
      <c r="H19" s="22" t="str" cm="1">
        <f t="array" ref="H19">IFERROR(IF(ISNUMBER(INDEX(정량지표상세!$C$2:$C$24, MATCH(1, (정량지표상세!$A$2:$A$24=$A19) * (정량지표상세!$B$2:$B$24=H$2), 0))),
    SUMIFS(정량지표상세!$C$2:$C$24, 정량지표상세!$A$2:$A$24, $A19, 정량지표상세!$B$2:$B$24, H$2),
    INDEX(정량지표상세!$C$2:$C$24, MATCH(1, (정량지표상세!$A$2:$A$24=$A19) * (정량지표상세!$B$2:$B$24=H$2), 0))),"")</f>
        <v/>
      </c>
      <c r="I19" s="22" t="str" cm="1">
        <f t="array" ref="I19">IFERROR(IF(ISNUMBER(INDEX(정량지표상세!$C$2:$C$24, MATCH(1, (정량지표상세!$A$2:$A$24=$A19) * (정량지표상세!$B$2:$B$24=I$2), 0))),
    SUMIFS(정량지표상세!$C$2:$C$24, 정량지표상세!$A$2:$A$24, $A19, 정량지표상세!$B$2:$B$24, I$2),
    INDEX(정량지표상세!$C$2:$C$24, MATCH(1, (정량지표상세!$A$2:$A$24=$A19) * (정량지표상세!$B$2:$B$24=I$2), 0))),"")</f>
        <v/>
      </c>
      <c r="J19" s="22" t="str" cm="1">
        <f t="array" ref="J19">IFERROR(IF(ISNUMBER(INDEX(정량지표상세!$C$2:$C$24, MATCH(1, (정량지표상세!$A$2:$A$24=$A19) * (정량지표상세!$B$2:$B$24=J$2), 0))),
    SUMIFS(정량지표상세!$C$2:$C$24, 정량지표상세!$A$2:$A$24, $A19, 정량지표상세!$B$2:$B$24, J$2),
    INDEX(정량지표상세!$C$2:$C$24, MATCH(1, (정량지표상세!$A$2:$A$24=$A19) * (정량지표상세!$B$2:$B$24=J$2), 0))),"")</f>
        <v/>
      </c>
      <c r="K19" s="23" t="str">
        <f t="shared" si="3"/>
        <v/>
      </c>
      <c r="L19" s="23" t="str">
        <f t="shared" si="4"/>
        <v/>
      </c>
      <c r="M19" s="23" t="str">
        <f t="shared" si="5"/>
        <v/>
      </c>
    </row>
    <row r="20" spans="1:13" x14ac:dyDescent="0.4">
      <c r="A20" s="21"/>
      <c r="B20" s="21"/>
      <c r="C20" s="21"/>
      <c r="D20" s="21"/>
      <c r="E20" s="21"/>
      <c r="F20" s="21"/>
      <c r="G20" s="21"/>
      <c r="H20" s="22" t="str" cm="1">
        <f t="array" ref="H20">IFERROR(IF(ISNUMBER(INDEX(정량지표상세!$C$2:$C$24, MATCH(1, (정량지표상세!$A$2:$A$24=$A20) * (정량지표상세!$B$2:$B$24=H$2), 0))),
    SUMIFS(정량지표상세!$C$2:$C$24, 정량지표상세!$A$2:$A$24, $A20, 정량지표상세!$B$2:$B$24, H$2),
    INDEX(정량지표상세!$C$2:$C$24, MATCH(1, (정량지표상세!$A$2:$A$24=$A20) * (정량지표상세!$B$2:$B$24=H$2), 0))),"")</f>
        <v/>
      </c>
      <c r="I20" s="22" t="str" cm="1">
        <f t="array" ref="I20">IFERROR(IF(ISNUMBER(INDEX(정량지표상세!$C$2:$C$24, MATCH(1, (정량지표상세!$A$2:$A$24=$A20) * (정량지표상세!$B$2:$B$24=I$2), 0))),
    SUMIFS(정량지표상세!$C$2:$C$24, 정량지표상세!$A$2:$A$24, $A20, 정량지표상세!$B$2:$B$24, I$2),
    INDEX(정량지표상세!$C$2:$C$24, MATCH(1, (정량지표상세!$A$2:$A$24=$A20) * (정량지표상세!$B$2:$B$24=I$2), 0))),"")</f>
        <v/>
      </c>
      <c r="J20" s="22" t="str" cm="1">
        <f t="array" ref="J20">IFERROR(IF(ISNUMBER(INDEX(정량지표상세!$C$2:$C$24, MATCH(1, (정량지표상세!$A$2:$A$24=$A20) * (정량지표상세!$B$2:$B$24=J$2), 0))),
    SUMIFS(정량지표상세!$C$2:$C$24, 정량지표상세!$A$2:$A$24, $A20, 정량지표상세!$B$2:$B$24, J$2),
    INDEX(정량지표상세!$C$2:$C$24, MATCH(1, (정량지표상세!$A$2:$A$24=$A20) * (정량지표상세!$B$2:$B$24=J$2), 0))),"")</f>
        <v/>
      </c>
      <c r="K20" s="23" t="str">
        <f t="shared" si="3"/>
        <v/>
      </c>
      <c r="L20" s="23" t="str">
        <f t="shared" si="4"/>
        <v/>
      </c>
      <c r="M20" s="23" t="str">
        <f t="shared" si="5"/>
        <v/>
      </c>
    </row>
    <row r="21" spans="1:13" x14ac:dyDescent="0.4">
      <c r="A21" s="21"/>
      <c r="B21" s="21"/>
      <c r="C21" s="21"/>
      <c r="D21" s="21"/>
      <c r="E21" s="21"/>
      <c r="F21" s="21"/>
      <c r="G21" s="21"/>
      <c r="H21" s="22" t="str" cm="1">
        <f t="array" ref="H21">IFERROR(IF(ISNUMBER(INDEX(정량지표상세!$C$2:$C$24, MATCH(1, (정량지표상세!$A$2:$A$24=$A21) * (정량지표상세!$B$2:$B$24=H$2), 0))),
    SUMIFS(정량지표상세!$C$2:$C$24, 정량지표상세!$A$2:$A$24, $A21, 정량지표상세!$B$2:$B$24, H$2),
    INDEX(정량지표상세!$C$2:$C$24, MATCH(1, (정량지표상세!$A$2:$A$24=$A21) * (정량지표상세!$B$2:$B$24=H$2), 0))),"")</f>
        <v/>
      </c>
      <c r="I21" s="22" t="str" cm="1">
        <f t="array" ref="I21">IFERROR(IF(ISNUMBER(INDEX(정량지표상세!$C$2:$C$24, MATCH(1, (정량지표상세!$A$2:$A$24=$A21) * (정량지표상세!$B$2:$B$24=I$2), 0))),
    SUMIFS(정량지표상세!$C$2:$C$24, 정량지표상세!$A$2:$A$24, $A21, 정량지표상세!$B$2:$B$24, I$2),
    INDEX(정량지표상세!$C$2:$C$24, MATCH(1, (정량지표상세!$A$2:$A$24=$A21) * (정량지표상세!$B$2:$B$24=I$2), 0))),"")</f>
        <v/>
      </c>
      <c r="J21" s="22" t="str" cm="1">
        <f t="array" ref="J21">IFERROR(IF(ISNUMBER(INDEX(정량지표상세!$C$2:$C$24, MATCH(1, (정량지표상세!$A$2:$A$24=$A21) * (정량지표상세!$B$2:$B$24=J$2), 0))),
    SUMIFS(정량지표상세!$C$2:$C$24, 정량지표상세!$A$2:$A$24, $A21, 정량지표상세!$B$2:$B$24, J$2),
    INDEX(정량지표상세!$C$2:$C$24, MATCH(1, (정량지표상세!$A$2:$A$24=$A21) * (정량지표상세!$B$2:$B$24=J$2), 0))),"")</f>
        <v/>
      </c>
      <c r="K21" s="23" t="str">
        <f t="shared" si="3"/>
        <v/>
      </c>
      <c r="L21" s="23" t="str">
        <f t="shared" si="4"/>
        <v/>
      </c>
      <c r="M21" s="23" t="str">
        <f t="shared" si="5"/>
        <v/>
      </c>
    </row>
    <row r="22" spans="1:13" x14ac:dyDescent="0.4">
      <c r="A22" s="21"/>
      <c r="B22" s="21"/>
      <c r="C22" s="21"/>
      <c r="D22" s="21"/>
      <c r="E22" s="21"/>
      <c r="F22" s="21"/>
      <c r="G22" s="21"/>
      <c r="H22" s="22" t="str" cm="1">
        <f t="array" ref="H22">IFERROR(IF(ISNUMBER(INDEX(정량지표상세!$C$2:$C$24, MATCH(1, (정량지표상세!$A$2:$A$24=$A22) * (정량지표상세!$B$2:$B$24=H$2), 0))),
    SUMIFS(정량지표상세!$C$2:$C$24, 정량지표상세!$A$2:$A$24, $A22, 정량지표상세!$B$2:$B$24, H$2),
    INDEX(정량지표상세!$C$2:$C$24, MATCH(1, (정량지표상세!$A$2:$A$24=$A22) * (정량지표상세!$B$2:$B$24=H$2), 0))),"")</f>
        <v/>
      </c>
      <c r="I22" s="22" t="str" cm="1">
        <f t="array" ref="I22">IFERROR(IF(ISNUMBER(INDEX(정량지표상세!$C$2:$C$24, MATCH(1, (정량지표상세!$A$2:$A$24=$A22) * (정량지표상세!$B$2:$B$24=I$2), 0))),
    SUMIFS(정량지표상세!$C$2:$C$24, 정량지표상세!$A$2:$A$24, $A22, 정량지표상세!$B$2:$B$24, I$2),
    INDEX(정량지표상세!$C$2:$C$24, MATCH(1, (정량지표상세!$A$2:$A$24=$A22) * (정량지표상세!$B$2:$B$24=I$2), 0))),"")</f>
        <v/>
      </c>
      <c r="J22" s="22" t="str" cm="1">
        <f t="array" ref="J22">IFERROR(IF(ISNUMBER(INDEX(정량지표상세!$C$2:$C$24, MATCH(1, (정량지표상세!$A$2:$A$24=$A22) * (정량지표상세!$B$2:$B$24=J$2), 0))),
    SUMIFS(정량지표상세!$C$2:$C$24, 정량지표상세!$A$2:$A$24, $A22, 정량지표상세!$B$2:$B$24, J$2),
    INDEX(정량지표상세!$C$2:$C$24, MATCH(1, (정량지표상세!$A$2:$A$24=$A22) * (정량지표상세!$B$2:$B$24=J$2), 0))),"")</f>
        <v/>
      </c>
      <c r="K22" s="23" t="str">
        <f t="shared" si="3"/>
        <v/>
      </c>
      <c r="L22" s="23" t="str">
        <f t="shared" si="4"/>
        <v/>
      </c>
      <c r="M22" s="23" t="str">
        <f t="shared" si="5"/>
        <v/>
      </c>
    </row>
    <row r="23" spans="1:13" x14ac:dyDescent="0.4">
      <c r="A23" s="21"/>
      <c r="B23" s="21"/>
      <c r="C23" s="21"/>
      <c r="D23" s="21"/>
      <c r="E23" s="21"/>
      <c r="F23" s="21"/>
      <c r="G23" s="21"/>
      <c r="H23" s="22" t="str" cm="1">
        <f t="array" ref="H23">IFERROR(IF(ISNUMBER(INDEX(정량지표상세!$C$2:$C$24, MATCH(1, (정량지표상세!$A$2:$A$24=$A23) * (정량지표상세!$B$2:$B$24=H$2), 0))),
    SUMIFS(정량지표상세!$C$2:$C$24, 정량지표상세!$A$2:$A$24, $A23, 정량지표상세!$B$2:$B$24, H$2),
    INDEX(정량지표상세!$C$2:$C$24, MATCH(1, (정량지표상세!$A$2:$A$24=$A23) * (정량지표상세!$B$2:$B$24=H$2), 0))),"")</f>
        <v/>
      </c>
      <c r="I23" s="22" t="str" cm="1">
        <f t="array" ref="I23">IFERROR(IF(ISNUMBER(INDEX(정량지표상세!$C$2:$C$24, MATCH(1, (정량지표상세!$A$2:$A$24=$A23) * (정량지표상세!$B$2:$B$24=I$2), 0))),
    SUMIFS(정량지표상세!$C$2:$C$24, 정량지표상세!$A$2:$A$24, $A23, 정량지표상세!$B$2:$B$24, I$2),
    INDEX(정량지표상세!$C$2:$C$24, MATCH(1, (정량지표상세!$A$2:$A$24=$A23) * (정량지표상세!$B$2:$B$24=I$2), 0))),"")</f>
        <v/>
      </c>
      <c r="J23" s="22" t="str" cm="1">
        <f t="array" ref="J23">IFERROR(IF(ISNUMBER(INDEX(정량지표상세!$C$2:$C$24, MATCH(1, (정량지표상세!$A$2:$A$24=$A23) * (정량지표상세!$B$2:$B$24=J$2), 0))),
    SUMIFS(정량지표상세!$C$2:$C$24, 정량지표상세!$A$2:$A$24, $A23, 정량지표상세!$B$2:$B$24, J$2),
    INDEX(정량지표상세!$C$2:$C$24, MATCH(1, (정량지표상세!$A$2:$A$24=$A23) * (정량지표상세!$B$2:$B$24=J$2), 0))),"")</f>
        <v/>
      </c>
      <c r="K23" s="23" t="str">
        <f t="shared" si="3"/>
        <v/>
      </c>
      <c r="L23" s="23" t="str">
        <f t="shared" si="4"/>
        <v/>
      </c>
      <c r="M23" s="23" t="str">
        <f t="shared" si="5"/>
        <v/>
      </c>
    </row>
    <row r="24" spans="1:13" x14ac:dyDescent="0.4">
      <c r="A24" s="21"/>
      <c r="B24" s="21"/>
      <c r="C24" s="21"/>
      <c r="D24" s="21"/>
      <c r="E24" s="21"/>
      <c r="F24" s="21"/>
      <c r="G24" s="21"/>
      <c r="H24" s="22" t="str" cm="1">
        <f t="array" ref="H24">IFERROR(IF(ISNUMBER(INDEX(정량지표상세!$C$2:$C$24, MATCH(1, (정량지표상세!$A$2:$A$24=$A24) * (정량지표상세!$B$2:$B$24=H$2), 0))),
    SUMIFS(정량지표상세!$C$2:$C$24, 정량지표상세!$A$2:$A$24, $A24, 정량지표상세!$B$2:$B$24, H$2),
    INDEX(정량지표상세!$C$2:$C$24, MATCH(1, (정량지표상세!$A$2:$A$24=$A24) * (정량지표상세!$B$2:$B$24=H$2), 0))),"")</f>
        <v/>
      </c>
      <c r="I24" s="22" t="str" cm="1">
        <f t="array" ref="I24">IFERROR(IF(ISNUMBER(INDEX(정량지표상세!$C$2:$C$24, MATCH(1, (정량지표상세!$A$2:$A$24=$A24) * (정량지표상세!$B$2:$B$24=I$2), 0))),
    SUMIFS(정량지표상세!$C$2:$C$24, 정량지표상세!$A$2:$A$24, $A24, 정량지표상세!$B$2:$B$24, I$2),
    INDEX(정량지표상세!$C$2:$C$24, MATCH(1, (정량지표상세!$A$2:$A$24=$A24) * (정량지표상세!$B$2:$B$24=I$2), 0))),"")</f>
        <v/>
      </c>
      <c r="J24" s="22" t="str" cm="1">
        <f t="array" ref="J24">IFERROR(IF(ISNUMBER(INDEX(정량지표상세!$C$2:$C$24, MATCH(1, (정량지표상세!$A$2:$A$24=$A24) * (정량지표상세!$B$2:$B$24=J$2), 0))),
    SUMIFS(정량지표상세!$C$2:$C$24, 정량지표상세!$A$2:$A$24, $A24, 정량지표상세!$B$2:$B$24, J$2),
    INDEX(정량지표상세!$C$2:$C$24, MATCH(1, (정량지표상세!$A$2:$A$24=$A24) * (정량지표상세!$B$2:$B$24=J$2), 0))),"")</f>
        <v/>
      </c>
      <c r="K24" s="23" t="str">
        <f t="shared" si="3"/>
        <v/>
      </c>
      <c r="L24" s="23" t="str">
        <f t="shared" si="4"/>
        <v/>
      </c>
      <c r="M24" s="23" t="str">
        <f t="shared" si="5"/>
        <v/>
      </c>
    </row>
    <row r="25" spans="1:13" x14ac:dyDescent="0.4">
      <c r="A25" s="21"/>
      <c r="B25" s="21"/>
      <c r="C25" s="21"/>
      <c r="D25" s="21"/>
      <c r="E25" s="21"/>
      <c r="F25" s="21"/>
      <c r="G25" s="21"/>
      <c r="H25" s="22" t="str" cm="1">
        <f t="array" ref="H25">IFERROR(IF(ISNUMBER(INDEX(정량지표상세!$C$2:$C$24, MATCH(1, (정량지표상세!$A$2:$A$24=$A25) * (정량지표상세!$B$2:$B$24=H$2), 0))),
    SUMIFS(정량지표상세!$C$2:$C$24, 정량지표상세!$A$2:$A$24, $A25, 정량지표상세!$B$2:$B$24, H$2),
    INDEX(정량지표상세!$C$2:$C$24, MATCH(1, (정량지표상세!$A$2:$A$24=$A25) * (정량지표상세!$B$2:$B$24=H$2), 0))),"")</f>
        <v/>
      </c>
      <c r="I25" s="22" t="str" cm="1">
        <f t="array" ref="I25">IFERROR(IF(ISNUMBER(INDEX(정량지표상세!$C$2:$C$24, MATCH(1, (정량지표상세!$A$2:$A$24=$A25) * (정량지표상세!$B$2:$B$24=I$2), 0))),
    SUMIFS(정량지표상세!$C$2:$C$24, 정량지표상세!$A$2:$A$24, $A25, 정량지표상세!$B$2:$B$24, I$2),
    INDEX(정량지표상세!$C$2:$C$24, MATCH(1, (정량지표상세!$A$2:$A$24=$A25) * (정량지표상세!$B$2:$B$24=I$2), 0))),"")</f>
        <v/>
      </c>
      <c r="J25" s="22" t="str" cm="1">
        <f t="array" ref="J25">IFERROR(IF(ISNUMBER(INDEX(정량지표상세!$C$2:$C$24, MATCH(1, (정량지표상세!$A$2:$A$24=$A25) * (정량지표상세!$B$2:$B$24=J$2), 0))),
    SUMIFS(정량지표상세!$C$2:$C$24, 정량지표상세!$A$2:$A$24, $A25, 정량지표상세!$B$2:$B$24, J$2),
    INDEX(정량지표상세!$C$2:$C$24, MATCH(1, (정량지표상세!$A$2:$A$24=$A25) * (정량지표상세!$B$2:$B$24=J$2), 0))),"")</f>
        <v/>
      </c>
      <c r="K25" s="23" t="str">
        <f t="shared" si="3"/>
        <v/>
      </c>
      <c r="L25" s="23" t="str">
        <f t="shared" si="4"/>
        <v/>
      </c>
      <c r="M25" s="23" t="str">
        <f t="shared" si="5"/>
        <v/>
      </c>
    </row>
    <row r="26" spans="1:13" x14ac:dyDescent="0.4">
      <c r="A26" s="21"/>
      <c r="B26" s="21"/>
      <c r="C26" s="21"/>
      <c r="D26" s="21"/>
      <c r="E26" s="21"/>
      <c r="F26" s="21"/>
      <c r="G26" s="21"/>
      <c r="H26" s="22" t="str" cm="1">
        <f t="array" ref="H26">IFERROR(IF(ISNUMBER(INDEX(정량지표상세!$C$2:$C$24, MATCH(1, (정량지표상세!$A$2:$A$24=$A26) * (정량지표상세!$B$2:$B$24=H$2), 0))),
    SUMIFS(정량지표상세!$C$2:$C$24, 정량지표상세!$A$2:$A$24, $A26, 정량지표상세!$B$2:$B$24, H$2),
    INDEX(정량지표상세!$C$2:$C$24, MATCH(1, (정량지표상세!$A$2:$A$24=$A26) * (정량지표상세!$B$2:$B$24=H$2), 0))),"")</f>
        <v/>
      </c>
      <c r="I26" s="22" t="str" cm="1">
        <f t="array" ref="I26">IFERROR(IF(ISNUMBER(INDEX(정량지표상세!$C$2:$C$24, MATCH(1, (정량지표상세!$A$2:$A$24=$A26) * (정량지표상세!$B$2:$B$24=I$2), 0))),
    SUMIFS(정량지표상세!$C$2:$C$24, 정량지표상세!$A$2:$A$24, $A26, 정량지표상세!$B$2:$B$24, I$2),
    INDEX(정량지표상세!$C$2:$C$24, MATCH(1, (정량지표상세!$A$2:$A$24=$A26) * (정량지표상세!$B$2:$B$24=I$2), 0))),"")</f>
        <v/>
      </c>
      <c r="J26" s="22" t="str" cm="1">
        <f t="array" ref="J26">IFERROR(IF(ISNUMBER(INDEX(정량지표상세!$C$2:$C$24, MATCH(1, (정량지표상세!$A$2:$A$24=$A26) * (정량지표상세!$B$2:$B$24=J$2), 0))),
    SUMIFS(정량지표상세!$C$2:$C$24, 정량지표상세!$A$2:$A$24, $A26, 정량지표상세!$B$2:$B$24, J$2),
    INDEX(정량지표상세!$C$2:$C$24, MATCH(1, (정량지표상세!$A$2:$A$24=$A26) * (정량지표상세!$B$2:$B$24=J$2), 0))),"")</f>
        <v/>
      </c>
      <c r="K26" s="23" t="str">
        <f t="shared" si="3"/>
        <v/>
      </c>
      <c r="L26" s="23" t="str">
        <f t="shared" si="4"/>
        <v/>
      </c>
      <c r="M26" s="23" t="str">
        <f t="shared" si="5"/>
        <v/>
      </c>
    </row>
    <row r="27" spans="1:13" x14ac:dyDescent="0.4">
      <c r="A27" s="21"/>
      <c r="B27" s="21"/>
      <c r="C27" s="21"/>
      <c r="D27" s="21"/>
      <c r="E27" s="21"/>
      <c r="F27" s="21"/>
      <c r="G27" s="21"/>
      <c r="H27" s="22" t="str" cm="1">
        <f t="array" ref="H27">IFERROR(IF(ISNUMBER(INDEX(정량지표상세!$C$2:$C$24, MATCH(1, (정량지표상세!$A$2:$A$24=$A27) * (정량지표상세!$B$2:$B$24=H$2), 0))),
    SUMIFS(정량지표상세!$C$2:$C$24, 정량지표상세!$A$2:$A$24, $A27, 정량지표상세!$B$2:$B$24, H$2),
    INDEX(정량지표상세!$C$2:$C$24, MATCH(1, (정량지표상세!$A$2:$A$24=$A27) * (정량지표상세!$B$2:$B$24=H$2), 0))),"")</f>
        <v/>
      </c>
      <c r="I27" s="22" t="str" cm="1">
        <f t="array" ref="I27">IFERROR(IF(ISNUMBER(INDEX(정량지표상세!$C$2:$C$24, MATCH(1, (정량지표상세!$A$2:$A$24=$A27) * (정량지표상세!$B$2:$B$24=I$2), 0))),
    SUMIFS(정량지표상세!$C$2:$C$24, 정량지표상세!$A$2:$A$24, $A27, 정량지표상세!$B$2:$B$24, I$2),
    INDEX(정량지표상세!$C$2:$C$24, MATCH(1, (정량지표상세!$A$2:$A$24=$A27) * (정량지표상세!$B$2:$B$24=I$2), 0))),"")</f>
        <v/>
      </c>
      <c r="J27" s="22" t="str" cm="1">
        <f t="array" ref="J27">IFERROR(IF(ISNUMBER(INDEX(정량지표상세!$C$2:$C$24, MATCH(1, (정량지표상세!$A$2:$A$24=$A27) * (정량지표상세!$B$2:$B$24=J$2), 0))),
    SUMIFS(정량지표상세!$C$2:$C$24, 정량지표상세!$A$2:$A$24, $A27, 정량지표상세!$B$2:$B$24, J$2),
    INDEX(정량지표상세!$C$2:$C$24, MATCH(1, (정량지표상세!$A$2:$A$24=$A27) * (정량지표상세!$B$2:$B$24=J$2), 0))),"")</f>
        <v/>
      </c>
      <c r="K27" s="23" t="str">
        <f t="shared" si="3"/>
        <v/>
      </c>
      <c r="L27" s="23" t="str">
        <f t="shared" si="4"/>
        <v/>
      </c>
      <c r="M27" s="23" t="str">
        <f t="shared" si="5"/>
        <v/>
      </c>
    </row>
    <row r="28" spans="1:13" x14ac:dyDescent="0.4">
      <c r="A28" s="21"/>
      <c r="B28" s="21"/>
      <c r="C28" s="21"/>
      <c r="D28" s="21"/>
      <c r="E28" s="21"/>
      <c r="F28" s="21"/>
      <c r="G28" s="21"/>
      <c r="H28" s="22" t="str" cm="1">
        <f t="array" ref="H28">IFERROR(IF(ISNUMBER(INDEX(정량지표상세!$C$2:$C$24, MATCH(1, (정량지표상세!$A$2:$A$24=$A28) * (정량지표상세!$B$2:$B$24=H$2), 0))),
    SUMIFS(정량지표상세!$C$2:$C$24, 정량지표상세!$A$2:$A$24, $A28, 정량지표상세!$B$2:$B$24, H$2),
    INDEX(정량지표상세!$C$2:$C$24, MATCH(1, (정량지표상세!$A$2:$A$24=$A28) * (정량지표상세!$B$2:$B$24=H$2), 0))),"")</f>
        <v/>
      </c>
      <c r="I28" s="22" t="str" cm="1">
        <f t="array" ref="I28">IFERROR(IF(ISNUMBER(INDEX(정량지표상세!$C$2:$C$24, MATCH(1, (정량지표상세!$A$2:$A$24=$A28) * (정량지표상세!$B$2:$B$24=I$2), 0))),
    SUMIFS(정량지표상세!$C$2:$C$24, 정량지표상세!$A$2:$A$24, $A28, 정량지표상세!$B$2:$B$24, I$2),
    INDEX(정량지표상세!$C$2:$C$24, MATCH(1, (정량지표상세!$A$2:$A$24=$A28) * (정량지표상세!$B$2:$B$24=I$2), 0))),"")</f>
        <v/>
      </c>
      <c r="J28" s="22" t="str" cm="1">
        <f t="array" ref="J28">IFERROR(IF(ISNUMBER(INDEX(정량지표상세!$C$2:$C$24, MATCH(1, (정량지표상세!$A$2:$A$24=$A28) * (정량지표상세!$B$2:$B$24=J$2), 0))),
    SUMIFS(정량지표상세!$C$2:$C$24, 정량지표상세!$A$2:$A$24, $A28, 정량지표상세!$B$2:$B$24, J$2),
    INDEX(정량지표상세!$C$2:$C$24, MATCH(1, (정량지표상세!$A$2:$A$24=$A28) * (정량지표상세!$B$2:$B$24=J$2), 0))),"")</f>
        <v/>
      </c>
      <c r="K28" s="23" t="str">
        <f t="shared" si="3"/>
        <v/>
      </c>
      <c r="L28" s="23" t="str">
        <f t="shared" si="4"/>
        <v/>
      </c>
      <c r="M28" s="23" t="str">
        <f t="shared" si="5"/>
        <v/>
      </c>
    </row>
    <row r="29" spans="1:13" x14ac:dyDescent="0.4">
      <c r="A29" s="21"/>
      <c r="B29" s="21"/>
      <c r="C29" s="21"/>
      <c r="D29" s="21"/>
      <c r="E29" s="21"/>
      <c r="F29" s="21"/>
      <c r="G29" s="21"/>
      <c r="H29" s="22" t="str" cm="1">
        <f t="array" ref="H29">IFERROR(IF(ISNUMBER(INDEX(정량지표상세!$C$2:$C$24, MATCH(1, (정량지표상세!$A$2:$A$24=$A29) * (정량지표상세!$B$2:$B$24=H$2), 0))),
    SUMIFS(정량지표상세!$C$2:$C$24, 정량지표상세!$A$2:$A$24, $A29, 정량지표상세!$B$2:$B$24, H$2),
    INDEX(정량지표상세!$C$2:$C$24, MATCH(1, (정량지표상세!$A$2:$A$24=$A29) * (정량지표상세!$B$2:$B$24=H$2), 0))),"")</f>
        <v/>
      </c>
      <c r="I29" s="22" t="str" cm="1">
        <f t="array" ref="I29">IFERROR(IF(ISNUMBER(INDEX(정량지표상세!$C$2:$C$24, MATCH(1, (정량지표상세!$A$2:$A$24=$A29) * (정량지표상세!$B$2:$B$24=I$2), 0))),
    SUMIFS(정량지표상세!$C$2:$C$24, 정량지표상세!$A$2:$A$24, $A29, 정량지표상세!$B$2:$B$24, I$2),
    INDEX(정량지표상세!$C$2:$C$24, MATCH(1, (정량지표상세!$A$2:$A$24=$A29) * (정량지표상세!$B$2:$B$24=I$2), 0))),"")</f>
        <v/>
      </c>
      <c r="J29" s="22" t="str" cm="1">
        <f t="array" ref="J29">IFERROR(IF(ISNUMBER(INDEX(정량지표상세!$C$2:$C$24, MATCH(1, (정량지표상세!$A$2:$A$24=$A29) * (정량지표상세!$B$2:$B$24=J$2), 0))),
    SUMIFS(정량지표상세!$C$2:$C$24, 정량지표상세!$A$2:$A$24, $A29, 정량지표상세!$B$2:$B$24, J$2),
    INDEX(정량지표상세!$C$2:$C$24, MATCH(1, (정량지표상세!$A$2:$A$24=$A29) * (정량지표상세!$B$2:$B$24=J$2), 0))),"")</f>
        <v/>
      </c>
      <c r="K29" s="23" t="str">
        <f t="shared" si="3"/>
        <v/>
      </c>
      <c r="L29" s="23" t="str">
        <f t="shared" si="4"/>
        <v/>
      </c>
      <c r="M29" s="23" t="str">
        <f t="shared" si="5"/>
        <v/>
      </c>
    </row>
    <row r="30" spans="1:13" x14ac:dyDescent="0.4">
      <c r="A30" s="21"/>
      <c r="B30" s="21"/>
      <c r="C30" s="21"/>
      <c r="D30" s="21"/>
      <c r="E30" s="21"/>
      <c r="F30" s="21"/>
      <c r="G30" s="21"/>
      <c r="H30" s="22" t="str" cm="1">
        <f t="array" ref="H30">IFERROR(IF(ISNUMBER(INDEX(정량지표상세!$C$2:$C$24, MATCH(1, (정량지표상세!$A$2:$A$24=$A30) * (정량지표상세!$B$2:$B$24=H$2), 0))),
    SUMIFS(정량지표상세!$C$2:$C$24, 정량지표상세!$A$2:$A$24, $A30, 정량지표상세!$B$2:$B$24, H$2),
    INDEX(정량지표상세!$C$2:$C$24, MATCH(1, (정량지표상세!$A$2:$A$24=$A30) * (정량지표상세!$B$2:$B$24=H$2), 0))),"")</f>
        <v/>
      </c>
      <c r="I30" s="22" t="str" cm="1">
        <f t="array" ref="I30">IFERROR(IF(ISNUMBER(INDEX(정량지표상세!$C$2:$C$24, MATCH(1, (정량지표상세!$A$2:$A$24=$A30) * (정량지표상세!$B$2:$B$24=I$2), 0))),
    SUMIFS(정량지표상세!$C$2:$C$24, 정량지표상세!$A$2:$A$24, $A30, 정량지표상세!$B$2:$B$24, I$2),
    INDEX(정량지표상세!$C$2:$C$24, MATCH(1, (정량지표상세!$A$2:$A$24=$A30) * (정량지표상세!$B$2:$B$24=I$2), 0))),"")</f>
        <v/>
      </c>
      <c r="J30" s="22" t="str" cm="1">
        <f t="array" ref="J30">IFERROR(IF(ISNUMBER(INDEX(정량지표상세!$C$2:$C$24, MATCH(1, (정량지표상세!$A$2:$A$24=$A30) * (정량지표상세!$B$2:$B$24=J$2), 0))),
    SUMIFS(정량지표상세!$C$2:$C$24, 정량지표상세!$A$2:$A$24, $A30, 정량지표상세!$B$2:$B$24, J$2),
    INDEX(정량지표상세!$C$2:$C$24, MATCH(1, (정량지표상세!$A$2:$A$24=$A30) * (정량지표상세!$B$2:$B$24=J$2), 0))),"")</f>
        <v/>
      </c>
      <c r="K30" s="23" t="str">
        <f t="shared" si="3"/>
        <v/>
      </c>
      <c r="L30" s="23" t="str">
        <f t="shared" si="4"/>
        <v/>
      </c>
      <c r="M30" s="23" t="str">
        <f t="shared" si="5"/>
        <v/>
      </c>
    </row>
    <row r="31" spans="1:13" x14ac:dyDescent="0.4">
      <c r="A31" s="21" t="s">
        <v>14</v>
      </c>
      <c r="B31" s="21"/>
      <c r="C31" s="21"/>
      <c r="D31" s="21">
        <f>SUM(D3:D30)</f>
        <v>100</v>
      </c>
      <c r="E31" s="21"/>
      <c r="F31" s="21"/>
      <c r="G31" s="21"/>
      <c r="H31" s="22"/>
      <c r="I31" s="22"/>
      <c r="J31" s="22"/>
      <c r="K31" s="23" t="str">
        <f>IF(E31="","",
   IF(ISNUMBER(E31),
      IF(N(H31)/E31&gt;=1,"달성","미달성"),
      IF(E31=H31,"달성","미달성")
   )
)</f>
        <v/>
      </c>
      <c r="L31" s="23"/>
      <c r="M31" s="23" t="str">
        <f t="shared" ref="M27:M31" si="6">IF(G31="","",
   IF(ISNUMBER(G31),
      IF(N(J31)/G31&gt;=1,"달성","미달성"),
      IF(G31=J31,"달성","미달성")
   )
)</f>
        <v/>
      </c>
    </row>
  </sheetData>
  <mergeCells count="7">
    <mergeCell ref="A1:A2"/>
    <mergeCell ref="B1:B2"/>
    <mergeCell ref="C1:C2"/>
    <mergeCell ref="D1:D2"/>
    <mergeCell ref="K1:M1"/>
    <mergeCell ref="H1:J1"/>
    <mergeCell ref="E1:G1"/>
  </mergeCells>
  <phoneticPr fontId="2" type="noConversion"/>
  <conditionalFormatting sqref="K3:M31">
    <cfRule type="cellIs" dxfId="6" priority="1" operator="equal">
      <formula>"달성"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B18F7-66B6-4E76-8669-E8C6B5F0079F}">
  <dimension ref="A1:D50"/>
  <sheetViews>
    <sheetView workbookViewId="0">
      <selection activeCell="H19" sqref="H19"/>
    </sheetView>
  </sheetViews>
  <sheetFormatPr defaultRowHeight="10.8" x14ac:dyDescent="0.4"/>
  <cols>
    <col min="1" max="1" width="54.59765625" style="17" bestFit="1" customWidth="1"/>
    <col min="2" max="2" width="11.296875" style="17" bestFit="1" customWidth="1"/>
    <col min="3" max="3" width="9.09765625" style="17" bestFit="1" customWidth="1"/>
    <col min="4" max="4" width="8.5" style="17" bestFit="1" customWidth="1"/>
    <col min="5" max="16384" width="8.796875" style="17"/>
  </cols>
  <sheetData>
    <row r="1" spans="1:4" x14ac:dyDescent="0.4">
      <c r="A1" s="16" t="s">
        <v>22</v>
      </c>
      <c r="B1" s="16" t="s">
        <v>15</v>
      </c>
      <c r="C1" s="16" t="s">
        <v>16</v>
      </c>
      <c r="D1" s="16" t="s">
        <v>12</v>
      </c>
    </row>
    <row r="2" spans="1:4" ht="21.6" x14ac:dyDescent="0.4">
      <c r="A2" s="18" t="s">
        <v>102</v>
      </c>
      <c r="B2" s="18" t="s">
        <v>69</v>
      </c>
      <c r="C2" s="18">
        <v>1</v>
      </c>
      <c r="D2" s="18" t="s">
        <v>21</v>
      </c>
    </row>
    <row r="3" spans="1:4" ht="21.6" x14ac:dyDescent="0.4">
      <c r="A3" s="18" t="s">
        <v>105</v>
      </c>
      <c r="B3" s="18" t="s">
        <v>69</v>
      </c>
      <c r="C3" s="18">
        <v>1</v>
      </c>
      <c r="D3" s="18" t="s">
        <v>21</v>
      </c>
    </row>
    <row r="4" spans="1:4" ht="21.6" x14ac:dyDescent="0.4">
      <c r="A4" s="18" t="s">
        <v>106</v>
      </c>
      <c r="B4" s="18" t="s">
        <v>70</v>
      </c>
      <c r="C4" s="18">
        <v>1</v>
      </c>
      <c r="D4" s="18" t="s">
        <v>21</v>
      </c>
    </row>
    <row r="5" spans="1:4" ht="21.6" x14ac:dyDescent="0.4">
      <c r="A5" s="18" t="s">
        <v>109</v>
      </c>
      <c r="B5" s="18" t="s">
        <v>68</v>
      </c>
      <c r="C5" s="18">
        <v>2</v>
      </c>
      <c r="D5" s="18" t="s">
        <v>21</v>
      </c>
    </row>
    <row r="6" spans="1:4" ht="21.6" x14ac:dyDescent="0.4">
      <c r="A6" s="18" t="s">
        <v>109</v>
      </c>
      <c r="B6" s="18" t="s">
        <v>69</v>
      </c>
      <c r="C6" s="18">
        <v>1</v>
      </c>
      <c r="D6" s="18" t="s">
        <v>21</v>
      </c>
    </row>
    <row r="7" spans="1:4" ht="21.6" x14ac:dyDescent="0.4">
      <c r="A7" s="18" t="s">
        <v>110</v>
      </c>
      <c r="B7" s="18" t="s">
        <v>69</v>
      </c>
      <c r="C7" s="18">
        <v>370</v>
      </c>
      <c r="D7" s="18" t="s">
        <v>21</v>
      </c>
    </row>
    <row r="8" spans="1:4" x14ac:dyDescent="0.4">
      <c r="A8" s="18"/>
      <c r="B8" s="18"/>
      <c r="C8" s="18"/>
      <c r="D8" s="18"/>
    </row>
    <row r="9" spans="1:4" x14ac:dyDescent="0.4">
      <c r="A9" s="18"/>
      <c r="B9" s="18"/>
      <c r="C9" s="18"/>
      <c r="D9" s="18"/>
    </row>
    <row r="10" spans="1:4" x14ac:dyDescent="0.4">
      <c r="A10" s="18"/>
      <c r="B10" s="18"/>
      <c r="C10" s="18"/>
      <c r="D10" s="18"/>
    </row>
    <row r="11" spans="1:4" x14ac:dyDescent="0.4">
      <c r="A11" s="18"/>
      <c r="B11" s="18"/>
      <c r="C11" s="18"/>
      <c r="D11" s="18"/>
    </row>
    <row r="12" spans="1:4" x14ac:dyDescent="0.4">
      <c r="A12" s="18"/>
      <c r="B12" s="18"/>
      <c r="C12" s="18"/>
      <c r="D12" s="18"/>
    </row>
    <row r="13" spans="1:4" x14ac:dyDescent="0.4">
      <c r="A13" s="18"/>
      <c r="B13" s="18"/>
      <c r="C13" s="18"/>
      <c r="D13" s="18"/>
    </row>
    <row r="14" spans="1:4" x14ac:dyDescent="0.4">
      <c r="A14" s="18"/>
      <c r="B14" s="18"/>
      <c r="C14" s="18"/>
      <c r="D14" s="18"/>
    </row>
    <row r="15" spans="1:4" x14ac:dyDescent="0.4">
      <c r="A15" s="18"/>
      <c r="B15" s="18"/>
      <c r="C15" s="18"/>
      <c r="D15" s="18"/>
    </row>
    <row r="16" spans="1:4" x14ac:dyDescent="0.4">
      <c r="A16" s="18"/>
      <c r="B16" s="18"/>
      <c r="C16" s="18"/>
      <c r="D16" s="18"/>
    </row>
    <row r="17" spans="1:4" x14ac:dyDescent="0.4">
      <c r="A17" s="18"/>
      <c r="B17" s="18"/>
      <c r="C17" s="18"/>
      <c r="D17" s="18"/>
    </row>
    <row r="18" spans="1:4" x14ac:dyDescent="0.4">
      <c r="A18" s="18"/>
      <c r="B18" s="18"/>
      <c r="C18" s="18"/>
      <c r="D18" s="18"/>
    </row>
    <row r="19" spans="1:4" x14ac:dyDescent="0.4">
      <c r="A19" s="18"/>
      <c r="B19" s="18"/>
      <c r="C19" s="18"/>
      <c r="D19" s="18"/>
    </row>
    <row r="20" spans="1:4" x14ac:dyDescent="0.4">
      <c r="A20" s="18"/>
      <c r="B20" s="18"/>
      <c r="C20" s="18"/>
      <c r="D20" s="18"/>
    </row>
    <row r="21" spans="1:4" x14ac:dyDescent="0.4">
      <c r="A21" s="18"/>
      <c r="B21" s="18"/>
      <c r="C21" s="18"/>
      <c r="D21" s="18"/>
    </row>
    <row r="22" spans="1:4" x14ac:dyDescent="0.4">
      <c r="A22" s="18"/>
      <c r="B22" s="18"/>
      <c r="C22" s="18"/>
      <c r="D22" s="18"/>
    </row>
    <row r="23" spans="1:4" x14ac:dyDescent="0.4">
      <c r="A23" s="18"/>
      <c r="B23" s="18"/>
      <c r="C23" s="18"/>
      <c r="D23" s="18"/>
    </row>
    <row r="24" spans="1:4" x14ac:dyDescent="0.4">
      <c r="A24" s="18"/>
      <c r="B24" s="18"/>
      <c r="C24" s="18"/>
      <c r="D24" s="18"/>
    </row>
    <row r="25" spans="1:4" x14ac:dyDescent="0.4">
      <c r="A25" s="18"/>
      <c r="B25" s="18"/>
      <c r="C25" s="18"/>
      <c r="D25" s="18"/>
    </row>
    <row r="26" spans="1:4" x14ac:dyDescent="0.4">
      <c r="A26" s="18"/>
      <c r="B26" s="18"/>
      <c r="C26" s="18"/>
      <c r="D26" s="18"/>
    </row>
    <row r="27" spans="1:4" x14ac:dyDescent="0.4">
      <c r="A27" s="18"/>
      <c r="B27" s="18"/>
      <c r="C27" s="18"/>
      <c r="D27" s="18"/>
    </row>
    <row r="28" spans="1:4" x14ac:dyDescent="0.4">
      <c r="A28" s="18"/>
      <c r="B28" s="18"/>
      <c r="C28" s="18"/>
      <c r="D28" s="18"/>
    </row>
    <row r="29" spans="1:4" x14ac:dyDescent="0.4">
      <c r="A29" s="18"/>
      <c r="B29" s="18"/>
      <c r="C29" s="18"/>
      <c r="D29" s="18"/>
    </row>
    <row r="30" spans="1:4" x14ac:dyDescent="0.4">
      <c r="A30" s="18"/>
      <c r="B30" s="18"/>
      <c r="C30" s="18"/>
      <c r="D30" s="18"/>
    </row>
    <row r="31" spans="1:4" x14ac:dyDescent="0.4">
      <c r="A31" s="18"/>
      <c r="B31" s="18"/>
      <c r="C31" s="18"/>
      <c r="D31" s="18"/>
    </row>
    <row r="32" spans="1:4" x14ac:dyDescent="0.4">
      <c r="A32" s="18"/>
      <c r="B32" s="18"/>
      <c r="C32" s="18"/>
      <c r="D32" s="18"/>
    </row>
    <row r="33" spans="1:4" x14ac:dyDescent="0.4">
      <c r="A33" s="18"/>
      <c r="B33" s="18"/>
      <c r="C33" s="18"/>
      <c r="D33" s="18"/>
    </row>
    <row r="34" spans="1:4" x14ac:dyDescent="0.4">
      <c r="A34" s="18"/>
      <c r="B34" s="18"/>
      <c r="C34" s="18"/>
      <c r="D34" s="18"/>
    </row>
    <row r="35" spans="1:4" x14ac:dyDescent="0.4">
      <c r="A35" s="18"/>
      <c r="B35" s="18"/>
      <c r="C35" s="18"/>
      <c r="D35" s="18"/>
    </row>
    <row r="36" spans="1:4" x14ac:dyDescent="0.4">
      <c r="A36" s="18"/>
      <c r="B36" s="18"/>
      <c r="C36" s="18"/>
      <c r="D36" s="18"/>
    </row>
    <row r="37" spans="1:4" x14ac:dyDescent="0.4">
      <c r="A37" s="18"/>
      <c r="B37" s="18"/>
      <c r="C37" s="18"/>
      <c r="D37" s="18"/>
    </row>
    <row r="38" spans="1:4" x14ac:dyDescent="0.4">
      <c r="A38" s="18"/>
      <c r="B38" s="18"/>
      <c r="C38" s="18"/>
      <c r="D38" s="18"/>
    </row>
    <row r="39" spans="1:4" x14ac:dyDescent="0.4">
      <c r="A39" s="18"/>
      <c r="B39" s="18"/>
      <c r="C39" s="18"/>
      <c r="D39" s="18"/>
    </row>
    <row r="40" spans="1:4" x14ac:dyDescent="0.4">
      <c r="A40" s="18"/>
      <c r="B40" s="18"/>
      <c r="C40" s="18"/>
      <c r="D40" s="18"/>
    </row>
    <row r="41" spans="1:4" x14ac:dyDescent="0.4">
      <c r="A41" s="18"/>
      <c r="B41" s="18"/>
      <c r="C41" s="18"/>
      <c r="D41" s="18"/>
    </row>
    <row r="42" spans="1:4" x14ac:dyDescent="0.4">
      <c r="A42" s="18"/>
      <c r="B42" s="18"/>
      <c r="C42" s="18"/>
      <c r="D42" s="18"/>
    </row>
    <row r="43" spans="1:4" x14ac:dyDescent="0.4">
      <c r="A43" s="18"/>
      <c r="B43" s="18"/>
      <c r="C43" s="18"/>
      <c r="D43" s="18"/>
    </row>
    <row r="44" spans="1:4" x14ac:dyDescent="0.4">
      <c r="A44" s="18"/>
      <c r="B44" s="18"/>
      <c r="C44" s="18"/>
      <c r="D44" s="18"/>
    </row>
    <row r="45" spans="1:4" x14ac:dyDescent="0.4">
      <c r="A45" s="18"/>
      <c r="B45" s="18"/>
      <c r="C45" s="18"/>
      <c r="D45" s="18"/>
    </row>
    <row r="46" spans="1:4" x14ac:dyDescent="0.4">
      <c r="A46" s="18"/>
      <c r="B46" s="18"/>
      <c r="C46" s="18"/>
      <c r="D46" s="18"/>
    </row>
    <row r="47" spans="1:4" x14ac:dyDescent="0.4">
      <c r="A47" s="18"/>
      <c r="B47" s="18"/>
      <c r="C47" s="18"/>
      <c r="D47" s="18"/>
    </row>
    <row r="48" spans="1:4" x14ac:dyDescent="0.4">
      <c r="A48" s="18"/>
      <c r="B48" s="18"/>
      <c r="C48" s="18"/>
      <c r="D48" s="18"/>
    </row>
    <row r="49" spans="1:4" x14ac:dyDescent="0.4">
      <c r="A49" s="18"/>
      <c r="B49" s="18"/>
      <c r="C49" s="18"/>
      <c r="D49" s="18"/>
    </row>
    <row r="50" spans="1:4" x14ac:dyDescent="0.4">
      <c r="A50" s="18"/>
      <c r="B50" s="18"/>
      <c r="C50" s="18"/>
      <c r="D50" s="18"/>
    </row>
  </sheetData>
  <phoneticPr fontId="2" type="noConversion"/>
  <conditionalFormatting sqref="A2:D50">
    <cfRule type="expression" dxfId="5" priority="1">
      <formula>OR($B2="2단계 3연차", $B2="3단계 3연차")</formula>
    </cfRule>
    <cfRule type="expression" dxfId="4" priority="2">
      <formula>OR($B2="2단계 2연차", $B2="3단계 2연차")</formula>
    </cfRule>
    <cfRule type="expression" dxfId="3" priority="3">
      <formula>OR($B2="2단계 1연차", $B2="3단계 1연차")</formula>
    </cfRule>
    <cfRule type="expression" dxfId="2" priority="4">
      <formula>OR($B2="0단계 3연차", $B2="1단계 3연차")</formula>
    </cfRule>
    <cfRule type="expression" dxfId="1" priority="5">
      <formula>OR($B2="0단계 2연차", $B2="1단계 2연차")</formula>
    </cfRule>
    <cfRule type="expression" dxfId="0" priority="6">
      <formula>OR($B2="0단계 1연차", $B2="1단계 1연차")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940C646E-5367-4D64-81B5-92B0C3F2072A}">
          <x14:formula1>
            <xm:f>정량지표!$A$3:$A$30</xm:f>
          </x14:formula1>
          <xm:sqref>A2:A32</xm:sqref>
        </x14:dataValidation>
        <x14:dataValidation type="list" allowBlank="1" showInputMessage="1" showErrorMessage="1" xr:uid="{7F1AA64A-1E17-4A37-91B7-C07A673F52E3}">
          <x14:formula1>
            <xm:f>개요!#REF!</xm:f>
          </x14:formula1>
          <xm:sqref>B2:B24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3EF46B1-1C2E-4944-B853-A8E0806F4ED7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556e23fd-9f3a-45ef-a5a1-aa2bcc2ee111}" enabled="1" method="Standard" siteId="{0e0de970-ba32-48a4-a048-99d48e6eb282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개요</vt:lpstr>
      <vt:lpstr>마일스톤</vt:lpstr>
      <vt:lpstr>정량지표</vt:lpstr>
      <vt:lpstr>정량지표상세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박인영 (Inyeong Park)</dc:creator>
  <cp:keywords/>
  <dc:description/>
  <cp:lastModifiedBy>박인영 (Inyeong Park)</cp:lastModifiedBy>
  <cp:revision/>
  <dcterms:created xsi:type="dcterms:W3CDTF">2026-04-08T23:12:00Z</dcterms:created>
  <dcterms:modified xsi:type="dcterms:W3CDTF">2026-06-02T06:50:12Z</dcterms:modified>
  <cp:category/>
  <cp:contentStatus/>
</cp:coreProperties>
</file>